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tables/table3.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4.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wnloads\"/>
    </mc:Choice>
  </mc:AlternateContent>
  <bookViews>
    <workbookView xWindow="0" yWindow="0" windowWidth="9940" windowHeight="6240" firstSheet="4" activeTab="10"/>
  </bookViews>
  <sheets>
    <sheet name="pivot" sheetId="6" r:id="rId1"/>
    <sheet name="pivot2" sheetId="7" r:id="rId2"/>
    <sheet name="Sheet2" sheetId="9" r:id="rId3"/>
    <sheet name="pivot3" sheetId="8" r:id="rId4"/>
    <sheet name="Sheet4" sheetId="11" r:id="rId5"/>
    <sheet name="pivot4" sheetId="10" r:id="rId6"/>
    <sheet name="Sheet3" sheetId="13" r:id="rId7"/>
    <sheet name="pivot5" sheetId="12" r:id="rId8"/>
    <sheet name="Data" sheetId="1" r:id="rId9"/>
    <sheet name="Questions &amp; KPIs" sheetId="2" r:id="rId10"/>
    <sheet name="Dashboard" sheetId="3" r:id="rId11"/>
  </sheets>
  <definedNames>
    <definedName name="Slicer_Gender_Value">#N/A</definedName>
    <definedName name="Slicer_Order_Mode">#N/A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401" i="1" l="1"/>
  <c r="O2401" i="1" a="1"/>
  <c r="N2401" i="1"/>
  <c r="M2401" i="1"/>
  <c r="O2400" i="1"/>
  <c r="O2400" i="1" a="1"/>
  <c r="N2400" i="1"/>
  <c r="M2400" i="1"/>
  <c r="O2399" i="1"/>
  <c r="O2399" i="1" a="1"/>
  <c r="N2399" i="1"/>
  <c r="M2399" i="1"/>
  <c r="O2398" i="1"/>
  <c r="O2398" i="1" a="1"/>
  <c r="N2398" i="1"/>
  <c r="M2398" i="1"/>
  <c r="O2397" i="1"/>
  <c r="O2397" i="1" a="1"/>
  <c r="N2397" i="1"/>
  <c r="M2397" i="1"/>
  <c r="O2396" i="1"/>
  <c r="O2396" i="1" a="1"/>
  <c r="N2396" i="1"/>
  <c r="M2396" i="1"/>
  <c r="O2395" i="1"/>
  <c r="O2395" i="1" a="1"/>
  <c r="N2395" i="1"/>
  <c r="M2395" i="1"/>
  <c r="O2394" i="1"/>
  <c r="O2394" i="1" a="1"/>
  <c r="N2394" i="1"/>
  <c r="M2394" i="1"/>
  <c r="O2393" i="1"/>
  <c r="O2393" i="1" a="1"/>
  <c r="N2393" i="1"/>
  <c r="M2393" i="1"/>
  <c r="O2392" i="1"/>
  <c r="O2392" i="1" a="1"/>
  <c r="N2392" i="1"/>
  <c r="M2392" i="1"/>
  <c r="O2391" i="1"/>
  <c r="O2391" i="1" a="1"/>
  <c r="N2391" i="1"/>
  <c r="M2391" i="1"/>
  <c r="O2390" i="1"/>
  <c r="O2390" i="1" a="1"/>
  <c r="N2390" i="1"/>
  <c r="M2390" i="1"/>
  <c r="O2389" i="1"/>
  <c r="O2389" i="1" a="1"/>
  <c r="N2389" i="1"/>
  <c r="M2389" i="1"/>
  <c r="O2388" i="1"/>
  <c r="O2388" i="1" a="1"/>
  <c r="N2388" i="1"/>
  <c r="M2388" i="1"/>
  <c r="O2387" i="1"/>
  <c r="O2387" i="1" a="1"/>
  <c r="N2387" i="1"/>
  <c r="M2387" i="1"/>
  <c r="O2386" i="1"/>
  <c r="O2386" i="1" a="1"/>
  <c r="N2386" i="1"/>
  <c r="M2386" i="1"/>
  <c r="O2385" i="1"/>
  <c r="O2385" i="1" a="1"/>
  <c r="N2385" i="1"/>
  <c r="M2385" i="1"/>
  <c r="O2384" i="1"/>
  <c r="O2384" i="1" a="1"/>
  <c r="N2384" i="1"/>
  <c r="M2384" i="1"/>
  <c r="O2383" i="1"/>
  <c r="O2383" i="1" a="1"/>
  <c r="N2383" i="1"/>
  <c r="M2383" i="1"/>
  <c r="O2382" i="1"/>
  <c r="O2382" i="1" a="1"/>
  <c r="N2382" i="1"/>
  <c r="M2382" i="1"/>
  <c r="O2381" i="1"/>
  <c r="O2381" i="1" a="1"/>
  <c r="N2381" i="1"/>
  <c r="M2381" i="1"/>
  <c r="O2380" i="1"/>
  <c r="O2380" i="1" a="1"/>
  <c r="N2380" i="1"/>
  <c r="M2380" i="1"/>
  <c r="O2379" i="1"/>
  <c r="O2379" i="1" a="1"/>
  <c r="N2379" i="1"/>
  <c r="M2379" i="1"/>
  <c r="O2378" i="1"/>
  <c r="O2378" i="1" a="1"/>
  <c r="N2378" i="1"/>
  <c r="M2378" i="1"/>
  <c r="O2377" i="1"/>
  <c r="O2377" i="1" a="1"/>
  <c r="N2377" i="1"/>
  <c r="M2377" i="1"/>
  <c r="O2376" i="1"/>
  <c r="O2376" i="1" a="1"/>
  <c r="N2376" i="1"/>
  <c r="M2376" i="1"/>
  <c r="O2375" i="1"/>
  <c r="O2375" i="1" a="1"/>
  <c r="N2375" i="1"/>
  <c r="M2375" i="1"/>
  <c r="O2374" i="1"/>
  <c r="O2374" i="1" a="1"/>
  <c r="N2374" i="1"/>
  <c r="M2374" i="1"/>
  <c r="O2373" i="1"/>
  <c r="O2373" i="1" a="1"/>
  <c r="N2373" i="1"/>
  <c r="M2373" i="1"/>
  <c r="O2372" i="1"/>
  <c r="O2372" i="1" a="1"/>
  <c r="N2372" i="1"/>
  <c r="M2372" i="1"/>
  <c r="O2371" i="1"/>
  <c r="O2371" i="1" a="1"/>
  <c r="N2371" i="1"/>
  <c r="M2371" i="1"/>
  <c r="O2370" i="1"/>
  <c r="O2370" i="1" a="1"/>
  <c r="N2370" i="1"/>
  <c r="M2370" i="1"/>
  <c r="O2369" i="1"/>
  <c r="O2369" i="1" a="1"/>
  <c r="N2369" i="1"/>
  <c r="M2369" i="1"/>
  <c r="O2368" i="1"/>
  <c r="O2368" i="1" a="1"/>
  <c r="N2368" i="1"/>
  <c r="M2368" i="1"/>
  <c r="O2367" i="1"/>
  <c r="O2367" i="1" a="1"/>
  <c r="N2367" i="1"/>
  <c r="M2367" i="1"/>
  <c r="O2366" i="1"/>
  <c r="O2366" i="1" a="1"/>
  <c r="N2366" i="1"/>
  <c r="M2366" i="1"/>
  <c r="O2365" i="1"/>
  <c r="O2365" i="1" a="1"/>
  <c r="N2365" i="1"/>
  <c r="M2365" i="1"/>
  <c r="O2364" i="1"/>
  <c r="O2364" i="1" a="1"/>
  <c r="N2364" i="1"/>
  <c r="M2364" i="1"/>
  <c r="O2363" i="1"/>
  <c r="O2363" i="1" a="1"/>
  <c r="N2363" i="1"/>
  <c r="M2363" i="1"/>
  <c r="O2362" i="1"/>
  <c r="O2362" i="1" a="1"/>
  <c r="N2362" i="1"/>
  <c r="M2362" i="1"/>
  <c r="O2361" i="1"/>
  <c r="O2361" i="1" a="1"/>
  <c r="N2361" i="1"/>
  <c r="M2361" i="1"/>
  <c r="O2360" i="1"/>
  <c r="O2360" i="1" a="1"/>
  <c r="N2360" i="1"/>
  <c r="M2360" i="1"/>
  <c r="O2359" i="1"/>
  <c r="O2359" i="1" a="1"/>
  <c r="N2359" i="1"/>
  <c r="M2359" i="1"/>
  <c r="O2358" i="1"/>
  <c r="O2358" i="1" a="1"/>
  <c r="N2358" i="1"/>
  <c r="M2358" i="1"/>
  <c r="O2357" i="1"/>
  <c r="O2357" i="1" a="1"/>
  <c r="N2357" i="1"/>
  <c r="M2357" i="1"/>
  <c r="O2356" i="1"/>
  <c r="O2356" i="1" a="1"/>
  <c r="N2356" i="1"/>
  <c r="M2356" i="1"/>
  <c r="O2355" i="1"/>
  <c r="O2355" i="1" a="1"/>
  <c r="N2355" i="1"/>
  <c r="M2355" i="1"/>
  <c r="O2354" i="1"/>
  <c r="O2354" i="1" a="1"/>
  <c r="N2354" i="1"/>
  <c r="M2354" i="1"/>
  <c r="O2353" i="1"/>
  <c r="O2353" i="1" a="1"/>
  <c r="N2353" i="1"/>
  <c r="M2353" i="1"/>
  <c r="O2352" i="1"/>
  <c r="O2352" i="1" a="1"/>
  <c r="N2352" i="1"/>
  <c r="M2352" i="1"/>
  <c r="O2351" i="1"/>
  <c r="O2351" i="1" a="1"/>
  <c r="N2351" i="1"/>
  <c r="M2351" i="1"/>
  <c r="O2350" i="1"/>
  <c r="O2350" i="1" a="1"/>
  <c r="N2350" i="1"/>
  <c r="M2350" i="1"/>
  <c r="O2349" i="1"/>
  <c r="O2349" i="1" a="1"/>
  <c r="N2349" i="1"/>
  <c r="M2349" i="1"/>
  <c r="O2348" i="1"/>
  <c r="O2348" i="1" a="1"/>
  <c r="N2348" i="1"/>
  <c r="M2348" i="1"/>
  <c r="O2347" i="1"/>
  <c r="O2347" i="1" a="1"/>
  <c r="N2347" i="1"/>
  <c r="M2347" i="1"/>
  <c r="O2346" i="1"/>
  <c r="O2346" i="1" a="1"/>
  <c r="N2346" i="1"/>
  <c r="M2346" i="1"/>
  <c r="O2345" i="1"/>
  <c r="O2345" i="1" a="1"/>
  <c r="N2345" i="1"/>
  <c r="M2345" i="1"/>
  <c r="O2344" i="1"/>
  <c r="O2344" i="1" a="1"/>
  <c r="N2344" i="1"/>
  <c r="M2344" i="1"/>
  <c r="O2343" i="1"/>
  <c r="O2343" i="1" a="1"/>
  <c r="N2343" i="1"/>
  <c r="M2343" i="1"/>
  <c r="O2342" i="1"/>
  <c r="O2342" i="1" a="1"/>
  <c r="N2342" i="1"/>
  <c r="M2342" i="1"/>
  <c r="O2341" i="1"/>
  <c r="O2341" i="1" a="1"/>
  <c r="N2341" i="1"/>
  <c r="M2341" i="1"/>
  <c r="O2340" i="1"/>
  <c r="O2340" i="1" a="1"/>
  <c r="N2340" i="1"/>
  <c r="M2340" i="1"/>
  <c r="O2339" i="1"/>
  <c r="O2339" i="1" a="1"/>
  <c r="N2339" i="1"/>
  <c r="M2339" i="1"/>
  <c r="O2338" i="1"/>
  <c r="O2338" i="1" a="1"/>
  <c r="N2338" i="1"/>
  <c r="M2338" i="1"/>
  <c r="O2337" i="1"/>
  <c r="O2337" i="1" a="1"/>
  <c r="N2337" i="1"/>
  <c r="M2337" i="1"/>
  <c r="O2336" i="1"/>
  <c r="O2336" i="1" a="1"/>
  <c r="N2336" i="1"/>
  <c r="M2336" i="1"/>
  <c r="O2335" i="1"/>
  <c r="O2335" i="1" a="1"/>
  <c r="N2335" i="1"/>
  <c r="M2335" i="1"/>
  <c r="O2334" i="1"/>
  <c r="O2334" i="1" a="1"/>
  <c r="N2334" i="1"/>
  <c r="M2334" i="1"/>
  <c r="O2333" i="1"/>
  <c r="O2333" i="1" a="1"/>
  <c r="N2333" i="1"/>
  <c r="M2333" i="1"/>
  <c r="O2332" i="1"/>
  <c r="O2332" i="1" a="1"/>
  <c r="N2332" i="1"/>
  <c r="M2332" i="1"/>
  <c r="O2331" i="1"/>
  <c r="O2331" i="1" a="1"/>
  <c r="N2331" i="1"/>
  <c r="M2331" i="1"/>
  <c r="O2330" i="1"/>
  <c r="O2330" i="1" a="1"/>
  <c r="N2330" i="1"/>
  <c r="M2330" i="1"/>
  <c r="O2329" i="1"/>
  <c r="O2329" i="1" a="1"/>
  <c r="N2329" i="1"/>
  <c r="M2329" i="1"/>
  <c r="O2328" i="1"/>
  <c r="O2328" i="1" a="1"/>
  <c r="N2328" i="1"/>
  <c r="M2328" i="1"/>
  <c r="O2327" i="1"/>
  <c r="O2327" i="1" a="1"/>
  <c r="N2327" i="1"/>
  <c r="M2327" i="1"/>
  <c r="O2326" i="1"/>
  <c r="O2326" i="1" a="1"/>
  <c r="N2326" i="1"/>
  <c r="M2326" i="1"/>
  <c r="O2325" i="1"/>
  <c r="O2325" i="1" a="1"/>
  <c r="N2325" i="1"/>
  <c r="M2325" i="1"/>
  <c r="O2324" i="1"/>
  <c r="O2324" i="1" a="1"/>
  <c r="N2324" i="1"/>
  <c r="M2324" i="1"/>
  <c r="O2323" i="1"/>
  <c r="O2323" i="1" a="1"/>
  <c r="N2323" i="1"/>
  <c r="M2323" i="1"/>
  <c r="O2322" i="1"/>
  <c r="O2322" i="1" a="1"/>
  <c r="N2322" i="1"/>
  <c r="M2322" i="1"/>
  <c r="O2321" i="1"/>
  <c r="O2321" i="1" a="1"/>
  <c r="N2321" i="1"/>
  <c r="M2321" i="1"/>
  <c r="O2320" i="1"/>
  <c r="O2320" i="1" a="1"/>
  <c r="N2320" i="1"/>
  <c r="M2320" i="1"/>
  <c r="O2319" i="1"/>
  <c r="O2319" i="1" a="1"/>
  <c r="N2319" i="1"/>
  <c r="M2319" i="1"/>
  <c r="O2318" i="1"/>
  <c r="O2318" i="1" a="1"/>
  <c r="N2318" i="1"/>
  <c r="M2318" i="1"/>
  <c r="O2317" i="1"/>
  <c r="O2317" i="1" a="1"/>
  <c r="N2317" i="1"/>
  <c r="M2317" i="1"/>
  <c r="O2316" i="1"/>
  <c r="O2316" i="1" a="1"/>
  <c r="N2316" i="1"/>
  <c r="M2316" i="1"/>
  <c r="O2315" i="1"/>
  <c r="O2315" i="1" a="1"/>
  <c r="N2315" i="1"/>
  <c r="M2315" i="1"/>
  <c r="O2314" i="1"/>
  <c r="O2314" i="1" a="1"/>
  <c r="N2314" i="1"/>
  <c r="M2314" i="1"/>
  <c r="O2313" i="1"/>
  <c r="O2313" i="1" a="1"/>
  <c r="N2313" i="1"/>
  <c r="M2313" i="1"/>
  <c r="O2312" i="1"/>
  <c r="O2312" i="1" a="1"/>
  <c r="N2312" i="1"/>
  <c r="M2312" i="1"/>
  <c r="O2311" i="1"/>
  <c r="O2311" i="1" a="1"/>
  <c r="N2311" i="1"/>
  <c r="M2311" i="1"/>
  <c r="O2310" i="1"/>
  <c r="O2310" i="1" a="1"/>
  <c r="N2310" i="1"/>
  <c r="M2310" i="1"/>
  <c r="O2309" i="1"/>
  <c r="O2309" i="1" a="1"/>
  <c r="N2309" i="1"/>
  <c r="M2309" i="1"/>
  <c r="O2308" i="1"/>
  <c r="O2308" i="1" a="1"/>
  <c r="N2308" i="1"/>
  <c r="M2308" i="1"/>
  <c r="O2307" i="1"/>
  <c r="O2307" i="1" a="1"/>
  <c r="N2307" i="1"/>
  <c r="M2307" i="1"/>
  <c r="O2306" i="1"/>
  <c r="O2306" i="1" a="1"/>
  <c r="N2306" i="1"/>
  <c r="M2306" i="1"/>
  <c r="O2305" i="1"/>
  <c r="O2305" i="1" a="1"/>
  <c r="N2305" i="1"/>
  <c r="M2305" i="1"/>
  <c r="O2304" i="1"/>
  <c r="O2304" i="1" a="1"/>
  <c r="N2304" i="1"/>
  <c r="M2304" i="1"/>
  <c r="O2303" i="1"/>
  <c r="O2303" i="1" a="1"/>
  <c r="N2303" i="1"/>
  <c r="M2303" i="1"/>
  <c r="O2302" i="1"/>
  <c r="O2302" i="1" a="1"/>
  <c r="N2302" i="1"/>
  <c r="M2302" i="1"/>
  <c r="O2301" i="1"/>
  <c r="O2301" i="1" a="1"/>
  <c r="N2301" i="1"/>
  <c r="M2301" i="1"/>
  <c r="O2300" i="1"/>
  <c r="O2300" i="1" a="1"/>
  <c r="N2300" i="1"/>
  <c r="M2300" i="1"/>
  <c r="O2299" i="1"/>
  <c r="O2299" i="1" a="1"/>
  <c r="N2299" i="1"/>
  <c r="M2299" i="1"/>
  <c r="O2298" i="1"/>
  <c r="O2298" i="1" a="1"/>
  <c r="N2298" i="1"/>
  <c r="M2298" i="1"/>
  <c r="O2297" i="1"/>
  <c r="O2297" i="1" a="1"/>
  <c r="N2297" i="1"/>
  <c r="M2297" i="1"/>
  <c r="O2296" i="1"/>
  <c r="O2296" i="1" a="1"/>
  <c r="N2296" i="1"/>
  <c r="M2296" i="1"/>
  <c r="O2295" i="1"/>
  <c r="O2295" i="1" a="1"/>
  <c r="N2295" i="1"/>
  <c r="M2295" i="1"/>
  <c r="O2294" i="1"/>
  <c r="O2294" i="1" a="1"/>
  <c r="N2294" i="1"/>
  <c r="M2294" i="1"/>
  <c r="O2293" i="1"/>
  <c r="O2293" i="1" a="1"/>
  <c r="N2293" i="1"/>
  <c r="M2293" i="1"/>
  <c r="O2292" i="1"/>
  <c r="O2292" i="1" a="1"/>
  <c r="N2292" i="1"/>
  <c r="M2292" i="1"/>
  <c r="O2291" i="1"/>
  <c r="O2291" i="1" a="1"/>
  <c r="N2291" i="1"/>
  <c r="M2291" i="1"/>
  <c r="O2290" i="1"/>
  <c r="O2290" i="1" a="1"/>
  <c r="N2290" i="1"/>
  <c r="M2290" i="1"/>
  <c r="O2289" i="1"/>
  <c r="O2289" i="1" a="1"/>
  <c r="N2289" i="1"/>
  <c r="M2289" i="1"/>
  <c r="O2288" i="1"/>
  <c r="O2288" i="1" a="1"/>
  <c r="N2288" i="1"/>
  <c r="M2288" i="1"/>
  <c r="O2287" i="1"/>
  <c r="O2287" i="1" a="1"/>
  <c r="N2287" i="1"/>
  <c r="M2287" i="1"/>
  <c r="O2286" i="1"/>
  <c r="O2286" i="1" a="1"/>
  <c r="N2286" i="1"/>
  <c r="M2286" i="1"/>
  <c r="O2285" i="1"/>
  <c r="O2285" i="1" a="1"/>
  <c r="N2285" i="1"/>
  <c r="M2285" i="1"/>
  <c r="O2284" i="1"/>
  <c r="O2284" i="1" a="1"/>
  <c r="N2284" i="1"/>
  <c r="M2284" i="1"/>
  <c r="O2283" i="1"/>
  <c r="O2283" i="1" a="1"/>
  <c r="N2283" i="1"/>
  <c r="M2283" i="1"/>
  <c r="O2282" i="1"/>
  <c r="O2282" i="1" a="1"/>
  <c r="N2282" i="1"/>
  <c r="M2282" i="1"/>
  <c r="O2281" i="1"/>
  <c r="O2281" i="1" a="1"/>
  <c r="N2281" i="1"/>
  <c r="M2281" i="1"/>
  <c r="O2280" i="1"/>
  <c r="O2280" i="1" a="1"/>
  <c r="N2280" i="1"/>
  <c r="M2280" i="1"/>
  <c r="O2279" i="1"/>
  <c r="O2279" i="1" a="1"/>
  <c r="N2279" i="1"/>
  <c r="M2279" i="1"/>
  <c r="O2278" i="1"/>
  <c r="O2278" i="1" a="1"/>
  <c r="N2278" i="1"/>
  <c r="M2278" i="1"/>
  <c r="O2277" i="1"/>
  <c r="O2277" i="1" a="1"/>
  <c r="N2277" i="1"/>
  <c r="M2277" i="1"/>
  <c r="O2276" i="1"/>
  <c r="O2276" i="1" a="1"/>
  <c r="N2276" i="1"/>
  <c r="M2276" i="1"/>
  <c r="O2275" i="1"/>
  <c r="O2275" i="1" a="1"/>
  <c r="N2275" i="1"/>
  <c r="M2275" i="1"/>
  <c r="O2274" i="1"/>
  <c r="O2274" i="1" a="1"/>
  <c r="N2274" i="1"/>
  <c r="M2274" i="1"/>
  <c r="O2273" i="1"/>
  <c r="O2273" i="1" a="1"/>
  <c r="N2273" i="1"/>
  <c r="M2273" i="1"/>
  <c r="O2272" i="1"/>
  <c r="O2272" i="1" a="1"/>
  <c r="N2272" i="1"/>
  <c r="M2272" i="1"/>
  <c r="O2271" i="1"/>
  <c r="O2271" i="1" a="1"/>
  <c r="N2271" i="1"/>
  <c r="M2271" i="1"/>
  <c r="O2270" i="1"/>
  <c r="O2270" i="1" a="1"/>
  <c r="N2270" i="1"/>
  <c r="M2270" i="1"/>
  <c r="O2269" i="1"/>
  <c r="O2269" i="1" a="1"/>
  <c r="N2269" i="1"/>
  <c r="M2269" i="1"/>
  <c r="O2268" i="1"/>
  <c r="O2268" i="1" a="1"/>
  <c r="N2268" i="1"/>
  <c r="M2268" i="1"/>
  <c r="O2267" i="1"/>
  <c r="O2267" i="1" a="1"/>
  <c r="N2267" i="1"/>
  <c r="M2267" i="1"/>
  <c r="O2266" i="1"/>
  <c r="O2266" i="1" a="1"/>
  <c r="N2266" i="1"/>
  <c r="M2266" i="1"/>
  <c r="O2265" i="1"/>
  <c r="O2265" i="1" a="1"/>
  <c r="N2265" i="1"/>
  <c r="M2265" i="1"/>
  <c r="O2264" i="1"/>
  <c r="O2264" i="1" a="1"/>
  <c r="N2264" i="1"/>
  <c r="M2264" i="1"/>
  <c r="O2263" i="1"/>
  <c r="O2263" i="1" a="1"/>
  <c r="N2263" i="1"/>
  <c r="M2263" i="1"/>
  <c r="O2262" i="1"/>
  <c r="O2262" i="1" a="1"/>
  <c r="N2262" i="1"/>
  <c r="M2262" i="1"/>
  <c r="O2261" i="1"/>
  <c r="O2261" i="1" a="1"/>
  <c r="N2261" i="1"/>
  <c r="M2261" i="1"/>
  <c r="O2260" i="1"/>
  <c r="O2260" i="1" a="1"/>
  <c r="N2260" i="1"/>
  <c r="M2260" i="1"/>
  <c r="O2259" i="1"/>
  <c r="O2259" i="1" a="1"/>
  <c r="N2259" i="1"/>
  <c r="M2259" i="1"/>
  <c r="O2258" i="1"/>
  <c r="O2258" i="1" a="1"/>
  <c r="N2258" i="1"/>
  <c r="M2258" i="1"/>
  <c r="O2257" i="1"/>
  <c r="O2257" i="1" a="1"/>
  <c r="N2257" i="1"/>
  <c r="M2257" i="1"/>
  <c r="O2256" i="1"/>
  <c r="O2256" i="1" a="1"/>
  <c r="N2256" i="1"/>
  <c r="M2256" i="1"/>
  <c r="O2255" i="1"/>
  <c r="O2255" i="1" a="1"/>
  <c r="N2255" i="1"/>
  <c r="M2255" i="1"/>
  <c r="O2254" i="1"/>
  <c r="O2254" i="1" a="1"/>
  <c r="N2254" i="1"/>
  <c r="M2254" i="1"/>
  <c r="O2253" i="1"/>
  <c r="O2253" i="1" a="1"/>
  <c r="N2253" i="1"/>
  <c r="M2253" i="1"/>
  <c r="O2252" i="1"/>
  <c r="O2252" i="1" a="1"/>
  <c r="N2252" i="1"/>
  <c r="M2252" i="1"/>
  <c r="O2251" i="1"/>
  <c r="O2251" i="1" a="1"/>
  <c r="N2251" i="1"/>
  <c r="M2251" i="1"/>
  <c r="O2250" i="1"/>
  <c r="O2250" i="1" a="1"/>
  <c r="N2250" i="1"/>
  <c r="M2250" i="1"/>
  <c r="O2249" i="1"/>
  <c r="O2249" i="1" a="1"/>
  <c r="N2249" i="1"/>
  <c r="M2249" i="1"/>
  <c r="O2248" i="1"/>
  <c r="O2248" i="1" a="1"/>
  <c r="N2248" i="1"/>
  <c r="M2248" i="1"/>
  <c r="O2247" i="1"/>
  <c r="O2247" i="1" a="1"/>
  <c r="N2247" i="1"/>
  <c r="M2247" i="1"/>
  <c r="O2246" i="1"/>
  <c r="O2246" i="1" a="1"/>
  <c r="N2246" i="1"/>
  <c r="M2246" i="1"/>
  <c r="O2245" i="1"/>
  <c r="O2245" i="1" a="1"/>
  <c r="N2245" i="1"/>
  <c r="M2245" i="1"/>
  <c r="O2244" i="1"/>
  <c r="O2244" i="1" a="1"/>
  <c r="N2244" i="1"/>
  <c r="M2244" i="1"/>
  <c r="O2243" i="1"/>
  <c r="O2243" i="1" a="1"/>
  <c r="N2243" i="1"/>
  <c r="M2243" i="1"/>
  <c r="O2242" i="1"/>
  <c r="O2242" i="1" a="1"/>
  <c r="N2242" i="1"/>
  <c r="M2242" i="1"/>
  <c r="O2241" i="1"/>
  <c r="O2241" i="1" a="1"/>
  <c r="N2241" i="1"/>
  <c r="M2241" i="1"/>
  <c r="O2240" i="1"/>
  <c r="O2240" i="1" a="1"/>
  <c r="N2240" i="1"/>
  <c r="M2240" i="1"/>
  <c r="O2239" i="1"/>
  <c r="O2239" i="1" a="1"/>
  <c r="N2239" i="1"/>
  <c r="M2239" i="1"/>
  <c r="O2238" i="1"/>
  <c r="O2238" i="1" a="1"/>
  <c r="N2238" i="1"/>
  <c r="M2238" i="1"/>
  <c r="O2237" i="1"/>
  <c r="O2237" i="1" a="1"/>
  <c r="N2237" i="1"/>
  <c r="M2237" i="1"/>
  <c r="O2236" i="1"/>
  <c r="O2236" i="1" a="1"/>
  <c r="N2236" i="1"/>
  <c r="M2236" i="1"/>
  <c r="O2235" i="1"/>
  <c r="O2235" i="1" a="1"/>
  <c r="N2235" i="1"/>
  <c r="M2235" i="1"/>
  <c r="O2234" i="1"/>
  <c r="O2234" i="1" a="1"/>
  <c r="N2234" i="1"/>
  <c r="M2234" i="1"/>
  <c r="O2233" i="1"/>
  <c r="O2233" i="1" a="1"/>
  <c r="N2233" i="1"/>
  <c r="M2233" i="1"/>
  <c r="O2232" i="1"/>
  <c r="O2232" i="1" a="1"/>
  <c r="N2232" i="1"/>
  <c r="M2232" i="1"/>
  <c r="O2231" i="1"/>
  <c r="O2231" i="1" a="1"/>
  <c r="N2231" i="1"/>
  <c r="M2231" i="1"/>
  <c r="O2230" i="1"/>
  <c r="O2230" i="1" a="1"/>
  <c r="N2230" i="1"/>
  <c r="M2230" i="1"/>
  <c r="O2229" i="1"/>
  <c r="O2229" i="1" a="1"/>
  <c r="N2229" i="1"/>
  <c r="M2229" i="1"/>
  <c r="O2228" i="1"/>
  <c r="O2228" i="1" a="1"/>
  <c r="N2228" i="1"/>
  <c r="M2228" i="1"/>
  <c r="O2227" i="1"/>
  <c r="O2227" i="1" a="1"/>
  <c r="N2227" i="1"/>
  <c r="M2227" i="1"/>
  <c r="O2226" i="1"/>
  <c r="O2226" i="1" a="1"/>
  <c r="N2226" i="1"/>
  <c r="M2226" i="1"/>
  <c r="O2225" i="1"/>
  <c r="O2225" i="1" a="1"/>
  <c r="N2225" i="1"/>
  <c r="M2225" i="1"/>
  <c r="O2224" i="1"/>
  <c r="O2224" i="1" a="1"/>
  <c r="N2224" i="1"/>
  <c r="M2224" i="1"/>
  <c r="O2223" i="1"/>
  <c r="O2223" i="1" a="1"/>
  <c r="N2223" i="1"/>
  <c r="M2223" i="1"/>
  <c r="O2222" i="1"/>
  <c r="O2222" i="1" a="1"/>
  <c r="N2222" i="1"/>
  <c r="M2222" i="1"/>
  <c r="O2221" i="1"/>
  <c r="O2221" i="1" a="1"/>
  <c r="N2221" i="1"/>
  <c r="M2221" i="1"/>
  <c r="O2220" i="1"/>
  <c r="O2220" i="1" a="1"/>
  <c r="N2220" i="1"/>
  <c r="M2220" i="1"/>
  <c r="O2219" i="1"/>
  <c r="O2219" i="1" a="1"/>
  <c r="N2219" i="1"/>
  <c r="M2219" i="1"/>
  <c r="O2218" i="1"/>
  <c r="O2218" i="1" a="1"/>
  <c r="N2218" i="1"/>
  <c r="M2218" i="1"/>
  <c r="O2217" i="1"/>
  <c r="O2217" i="1" a="1"/>
  <c r="N2217" i="1"/>
  <c r="M2217" i="1"/>
  <c r="O2216" i="1"/>
  <c r="O2216" i="1" a="1"/>
  <c r="N2216" i="1"/>
  <c r="M2216" i="1"/>
  <c r="O2215" i="1"/>
  <c r="O2215" i="1" a="1"/>
  <c r="N2215" i="1"/>
  <c r="M2215" i="1"/>
  <c r="O2214" i="1"/>
  <c r="O2214" i="1" a="1"/>
  <c r="N2214" i="1"/>
  <c r="M2214" i="1"/>
  <c r="O2213" i="1"/>
  <c r="O2213" i="1" a="1"/>
  <c r="N2213" i="1"/>
  <c r="M2213" i="1"/>
  <c r="O2212" i="1"/>
  <c r="O2212" i="1" a="1"/>
  <c r="N2212" i="1"/>
  <c r="M2212" i="1"/>
  <c r="O2211" i="1"/>
  <c r="O2211" i="1" a="1"/>
  <c r="N2211" i="1"/>
  <c r="M2211" i="1"/>
  <c r="O2210" i="1"/>
  <c r="O2210" i="1" a="1"/>
  <c r="N2210" i="1"/>
  <c r="M2210" i="1"/>
  <c r="O2209" i="1"/>
  <c r="O2209" i="1" a="1"/>
  <c r="N2209" i="1"/>
  <c r="M2209" i="1"/>
  <c r="O2208" i="1"/>
  <c r="O2208" i="1" a="1"/>
  <c r="N2208" i="1"/>
  <c r="M2208" i="1"/>
  <c r="O2207" i="1"/>
  <c r="O2207" i="1" a="1"/>
  <c r="N2207" i="1"/>
  <c r="M2207" i="1"/>
  <c r="O2206" i="1"/>
  <c r="O2206" i="1" a="1"/>
  <c r="N2206" i="1"/>
  <c r="M2206" i="1"/>
  <c r="O2205" i="1"/>
  <c r="O2205" i="1" a="1"/>
  <c r="N2205" i="1"/>
  <c r="M2205" i="1"/>
  <c r="O2204" i="1"/>
  <c r="O2204" i="1" a="1"/>
  <c r="N2204" i="1"/>
  <c r="M2204" i="1"/>
  <c r="O2203" i="1"/>
  <c r="O2203" i="1" a="1"/>
  <c r="N2203" i="1"/>
  <c r="M2203" i="1"/>
  <c r="O2202" i="1"/>
  <c r="O2202" i="1" a="1"/>
  <c r="N2202" i="1"/>
  <c r="M2202" i="1"/>
  <c r="O2201" i="1"/>
  <c r="O2201" i="1" a="1"/>
  <c r="N2201" i="1"/>
  <c r="M2201" i="1"/>
  <c r="O2200" i="1"/>
  <c r="O2200" i="1" a="1"/>
  <c r="N2200" i="1"/>
  <c r="M2200" i="1"/>
  <c r="O2199" i="1"/>
  <c r="O2199" i="1" a="1"/>
  <c r="N2199" i="1"/>
  <c r="M2199" i="1"/>
  <c r="O2198" i="1"/>
  <c r="O2198" i="1" a="1"/>
  <c r="N2198" i="1"/>
  <c r="M2198" i="1"/>
  <c r="O2197" i="1"/>
  <c r="O2197" i="1" a="1"/>
  <c r="N2197" i="1"/>
  <c r="M2197" i="1"/>
  <c r="O2196" i="1"/>
  <c r="O2196" i="1" a="1"/>
  <c r="N2196" i="1"/>
  <c r="M2196" i="1"/>
  <c r="O2195" i="1"/>
  <c r="O2195" i="1" a="1"/>
  <c r="N2195" i="1"/>
  <c r="M2195" i="1"/>
  <c r="O2194" i="1"/>
  <c r="O2194" i="1" a="1"/>
  <c r="N2194" i="1"/>
  <c r="M2194" i="1"/>
  <c r="O2193" i="1"/>
  <c r="O2193" i="1" a="1"/>
  <c r="N2193" i="1"/>
  <c r="M2193" i="1"/>
  <c r="O2192" i="1"/>
  <c r="O2192" i="1" a="1"/>
  <c r="N2192" i="1"/>
  <c r="M2192" i="1"/>
  <c r="O2191" i="1"/>
  <c r="O2191" i="1" a="1"/>
  <c r="N2191" i="1"/>
  <c r="M2191" i="1"/>
  <c r="O2190" i="1"/>
  <c r="O2190" i="1" a="1"/>
  <c r="N2190" i="1"/>
  <c r="M2190" i="1"/>
  <c r="O2189" i="1"/>
  <c r="O2189" i="1" a="1"/>
  <c r="N2189" i="1"/>
  <c r="M2189" i="1"/>
  <c r="O2188" i="1"/>
  <c r="O2188" i="1" a="1"/>
  <c r="N2188" i="1"/>
  <c r="M2188" i="1"/>
  <c r="O2187" i="1"/>
  <c r="O2187" i="1" a="1"/>
  <c r="N2187" i="1"/>
  <c r="M2187" i="1"/>
  <c r="O2186" i="1"/>
  <c r="O2186" i="1" a="1"/>
  <c r="N2186" i="1"/>
  <c r="M2186" i="1"/>
  <c r="O2185" i="1"/>
  <c r="O2185" i="1" a="1"/>
  <c r="N2185" i="1"/>
  <c r="M2185" i="1"/>
  <c r="O2184" i="1"/>
  <c r="O2184" i="1" a="1"/>
  <c r="N2184" i="1"/>
  <c r="M2184" i="1"/>
  <c r="O2183" i="1"/>
  <c r="O2183" i="1" a="1"/>
  <c r="N2183" i="1"/>
  <c r="M2183" i="1"/>
  <c r="O2182" i="1"/>
  <c r="O2182" i="1" a="1"/>
  <c r="N2182" i="1"/>
  <c r="M2182" i="1"/>
  <c r="O2181" i="1"/>
  <c r="O2181" i="1" a="1"/>
  <c r="N2181" i="1"/>
  <c r="M2181" i="1"/>
  <c r="O2180" i="1"/>
  <c r="O2180" i="1" a="1"/>
  <c r="N2180" i="1"/>
  <c r="M2180" i="1"/>
  <c r="O2179" i="1"/>
  <c r="O2179" i="1" a="1"/>
  <c r="N2179" i="1"/>
  <c r="M2179" i="1"/>
  <c r="O2178" i="1"/>
  <c r="O2178" i="1" a="1"/>
  <c r="N2178" i="1"/>
  <c r="M2178" i="1"/>
  <c r="O2177" i="1"/>
  <c r="O2177" i="1" a="1"/>
  <c r="N2177" i="1"/>
  <c r="M2177" i="1"/>
  <c r="O2176" i="1"/>
  <c r="O2176" i="1" a="1"/>
  <c r="N2176" i="1"/>
  <c r="M2176" i="1"/>
  <c r="O2175" i="1"/>
  <c r="O2175" i="1" a="1"/>
  <c r="N2175" i="1"/>
  <c r="M2175" i="1"/>
  <c r="O2174" i="1"/>
  <c r="O2174" i="1" a="1"/>
  <c r="N2174" i="1"/>
  <c r="M2174" i="1"/>
  <c r="O2173" i="1"/>
  <c r="O2173" i="1" a="1"/>
  <c r="N2173" i="1"/>
  <c r="M2173" i="1"/>
  <c r="O2172" i="1"/>
  <c r="O2172" i="1" a="1"/>
  <c r="N2172" i="1"/>
  <c r="M2172" i="1"/>
  <c r="O2171" i="1"/>
  <c r="O2171" i="1" a="1"/>
  <c r="N2171" i="1"/>
  <c r="M2171" i="1"/>
  <c r="O2170" i="1"/>
  <c r="O2170" i="1" a="1"/>
  <c r="N2170" i="1"/>
  <c r="M2170" i="1"/>
  <c r="O2169" i="1"/>
  <c r="O2169" i="1" a="1"/>
  <c r="N2169" i="1"/>
  <c r="M2169" i="1"/>
  <c r="O2168" i="1"/>
  <c r="O2168" i="1" a="1"/>
  <c r="N2168" i="1"/>
  <c r="M2168" i="1"/>
  <c r="O2167" i="1"/>
  <c r="O2167" i="1" a="1"/>
  <c r="N2167" i="1"/>
  <c r="M2167" i="1"/>
  <c r="O2166" i="1"/>
  <c r="O2166" i="1" a="1"/>
  <c r="N2166" i="1"/>
  <c r="M2166" i="1"/>
  <c r="O2165" i="1"/>
  <c r="O2165" i="1" a="1"/>
  <c r="N2165" i="1"/>
  <c r="M2165" i="1"/>
  <c r="O2164" i="1"/>
  <c r="O2164" i="1" a="1"/>
  <c r="N2164" i="1"/>
  <c r="M2164" i="1"/>
  <c r="O2163" i="1"/>
  <c r="O2163" i="1" a="1"/>
  <c r="N2163" i="1"/>
  <c r="M2163" i="1"/>
  <c r="O2162" i="1"/>
  <c r="O2162" i="1" a="1"/>
  <c r="N2162" i="1"/>
  <c r="M2162" i="1"/>
  <c r="O2161" i="1"/>
  <c r="O2161" i="1" a="1"/>
  <c r="N2161" i="1"/>
  <c r="M2161" i="1"/>
  <c r="O2160" i="1"/>
  <c r="O2160" i="1" a="1"/>
  <c r="N2160" i="1"/>
  <c r="M2160" i="1"/>
  <c r="O2159" i="1"/>
  <c r="O2159" i="1" a="1"/>
  <c r="N2159" i="1"/>
  <c r="M2159" i="1"/>
  <c r="O2158" i="1"/>
  <c r="O2158" i="1" a="1"/>
  <c r="N2158" i="1"/>
  <c r="M2158" i="1"/>
  <c r="O2157" i="1"/>
  <c r="O2157" i="1" a="1"/>
  <c r="N2157" i="1"/>
  <c r="M2157" i="1"/>
  <c r="O2156" i="1"/>
  <c r="O2156" i="1" a="1"/>
  <c r="N2156" i="1"/>
  <c r="M2156" i="1"/>
  <c r="O2155" i="1"/>
  <c r="O2155" i="1" a="1"/>
  <c r="N2155" i="1"/>
  <c r="M2155" i="1"/>
  <c r="O2154" i="1"/>
  <c r="O2154" i="1" a="1"/>
  <c r="N2154" i="1"/>
  <c r="M2154" i="1"/>
  <c r="O2153" i="1"/>
  <c r="O2153" i="1" a="1"/>
  <c r="N2153" i="1"/>
  <c r="M2153" i="1"/>
  <c r="O2152" i="1"/>
  <c r="O2152" i="1" a="1"/>
  <c r="N2152" i="1"/>
  <c r="M2152" i="1"/>
  <c r="O2151" i="1"/>
  <c r="O2151" i="1" a="1"/>
  <c r="N2151" i="1"/>
  <c r="M2151" i="1"/>
  <c r="O2150" i="1"/>
  <c r="O2150" i="1" a="1"/>
  <c r="N2150" i="1"/>
  <c r="M2150" i="1"/>
  <c r="O2149" i="1"/>
  <c r="O2149" i="1" a="1"/>
  <c r="N2149" i="1"/>
  <c r="M2149" i="1"/>
  <c r="O2148" i="1"/>
  <c r="O2148" i="1" a="1"/>
  <c r="N2148" i="1"/>
  <c r="M2148" i="1"/>
  <c r="O2147" i="1"/>
  <c r="O2147" i="1" a="1"/>
  <c r="N2147" i="1"/>
  <c r="M2147" i="1"/>
  <c r="O2146" i="1"/>
  <c r="O2146" i="1" a="1"/>
  <c r="N2146" i="1"/>
  <c r="M2146" i="1"/>
  <c r="O2145" i="1"/>
  <c r="O2145" i="1" a="1"/>
  <c r="N2145" i="1"/>
  <c r="M2145" i="1"/>
  <c r="O2144" i="1"/>
  <c r="O2144" i="1" a="1"/>
  <c r="N2144" i="1"/>
  <c r="M2144" i="1"/>
  <c r="O2143" i="1"/>
  <c r="O2143" i="1" a="1"/>
  <c r="N2143" i="1"/>
  <c r="M2143" i="1"/>
  <c r="O2142" i="1"/>
  <c r="O2142" i="1" a="1"/>
  <c r="N2142" i="1"/>
  <c r="M2142" i="1"/>
  <c r="O2141" i="1"/>
  <c r="O2141" i="1" a="1"/>
  <c r="N2141" i="1"/>
  <c r="M2141" i="1"/>
  <c r="O2140" i="1"/>
  <c r="O2140" i="1" a="1"/>
  <c r="N2140" i="1"/>
  <c r="M2140" i="1"/>
  <c r="O2139" i="1"/>
  <c r="O2139" i="1" a="1"/>
  <c r="N2139" i="1"/>
  <c r="M2139" i="1"/>
  <c r="O2138" i="1"/>
  <c r="O2138" i="1" a="1"/>
  <c r="N2138" i="1"/>
  <c r="M2138" i="1"/>
  <c r="O2137" i="1"/>
  <c r="O2137" i="1" a="1"/>
  <c r="N2137" i="1"/>
  <c r="M2137" i="1"/>
  <c r="O2136" i="1"/>
  <c r="O2136" i="1" a="1"/>
  <c r="N2136" i="1"/>
  <c r="M2136" i="1"/>
  <c r="O2135" i="1"/>
  <c r="O2135" i="1" a="1"/>
  <c r="N2135" i="1"/>
  <c r="M2135" i="1"/>
  <c r="O2134" i="1"/>
  <c r="O2134" i="1" a="1"/>
  <c r="N2134" i="1"/>
  <c r="M2134" i="1"/>
  <c r="O2133" i="1"/>
  <c r="O2133" i="1" a="1"/>
  <c r="N2133" i="1"/>
  <c r="M2133" i="1"/>
  <c r="O2132" i="1"/>
  <c r="O2132" i="1" a="1"/>
  <c r="N2132" i="1"/>
  <c r="M2132" i="1"/>
  <c r="O2131" i="1"/>
  <c r="O2131" i="1" a="1"/>
  <c r="N2131" i="1"/>
  <c r="M2131" i="1"/>
  <c r="O2130" i="1"/>
  <c r="O2130" i="1" a="1"/>
  <c r="N2130" i="1"/>
  <c r="M2130" i="1"/>
  <c r="O2129" i="1"/>
  <c r="O2129" i="1" a="1"/>
  <c r="N2129" i="1"/>
  <c r="M2129" i="1"/>
  <c r="O2128" i="1"/>
  <c r="O2128" i="1" a="1"/>
  <c r="N2128" i="1"/>
  <c r="M2128" i="1"/>
  <c r="O2127" i="1"/>
  <c r="O2127" i="1" a="1"/>
  <c r="N2127" i="1"/>
  <c r="M2127" i="1"/>
  <c r="O2126" i="1"/>
  <c r="O2126" i="1" a="1"/>
  <c r="N2126" i="1"/>
  <c r="M2126" i="1"/>
  <c r="O2125" i="1"/>
  <c r="O2125" i="1" a="1"/>
  <c r="N2125" i="1"/>
  <c r="M2125" i="1"/>
  <c r="O2124" i="1"/>
  <c r="O2124" i="1" a="1"/>
  <c r="N2124" i="1"/>
  <c r="M2124" i="1"/>
  <c r="O2123" i="1"/>
  <c r="O2123" i="1" a="1"/>
  <c r="N2123" i="1"/>
  <c r="M2123" i="1"/>
  <c r="O2122" i="1"/>
  <c r="O2122" i="1" a="1"/>
  <c r="N2122" i="1"/>
  <c r="M2122" i="1"/>
  <c r="O2121" i="1"/>
  <c r="O2121" i="1" a="1"/>
  <c r="N2121" i="1"/>
  <c r="M2121" i="1"/>
  <c r="O2120" i="1"/>
  <c r="O2120" i="1" a="1"/>
  <c r="N2120" i="1"/>
  <c r="M2120" i="1"/>
  <c r="O2119" i="1"/>
  <c r="O2119" i="1" a="1"/>
  <c r="N2119" i="1"/>
  <c r="M2119" i="1"/>
  <c r="O2118" i="1"/>
  <c r="O2118" i="1" a="1"/>
  <c r="N2118" i="1"/>
  <c r="M2118" i="1"/>
  <c r="O2117" i="1"/>
  <c r="O2117" i="1" a="1"/>
  <c r="N2117" i="1"/>
  <c r="M2117" i="1"/>
  <c r="O2116" i="1"/>
  <c r="O2116" i="1" a="1"/>
  <c r="N2116" i="1"/>
  <c r="M2116" i="1"/>
  <c r="O2115" i="1"/>
  <c r="O2115" i="1" a="1"/>
  <c r="N2115" i="1"/>
  <c r="M2115" i="1"/>
  <c r="O2114" i="1"/>
  <c r="O2114" i="1" a="1"/>
  <c r="N2114" i="1"/>
  <c r="M2114" i="1"/>
  <c r="O2113" i="1"/>
  <c r="O2113" i="1" a="1"/>
  <c r="N2113" i="1"/>
  <c r="M2113" i="1"/>
  <c r="O2112" i="1"/>
  <c r="O2112" i="1" a="1"/>
  <c r="N2112" i="1"/>
  <c r="M2112" i="1"/>
  <c r="O2111" i="1"/>
  <c r="O2111" i="1" a="1"/>
  <c r="N2111" i="1"/>
  <c r="M2111" i="1"/>
  <c r="O2110" i="1"/>
  <c r="O2110" i="1" a="1"/>
  <c r="N2110" i="1"/>
  <c r="M2110" i="1"/>
  <c r="O2109" i="1"/>
  <c r="O2109" i="1" a="1"/>
  <c r="N2109" i="1"/>
  <c r="M2109" i="1"/>
  <c r="O2108" i="1"/>
  <c r="O2108" i="1" a="1"/>
  <c r="N2108" i="1"/>
  <c r="M2108" i="1"/>
  <c r="O2107" i="1"/>
  <c r="O2107" i="1" a="1"/>
  <c r="N2107" i="1"/>
  <c r="M2107" i="1"/>
  <c r="O2106" i="1"/>
  <c r="O2106" i="1" a="1"/>
  <c r="N2106" i="1"/>
  <c r="M2106" i="1"/>
  <c r="O2105" i="1"/>
  <c r="O2105" i="1" a="1"/>
  <c r="N2105" i="1"/>
  <c r="M2105" i="1"/>
  <c r="O2104" i="1"/>
  <c r="O2104" i="1" a="1"/>
  <c r="N2104" i="1"/>
  <c r="M2104" i="1"/>
  <c r="O2103" i="1"/>
  <c r="O2103" i="1" a="1"/>
  <c r="N2103" i="1"/>
  <c r="M2103" i="1"/>
  <c r="O2102" i="1"/>
  <c r="O2102" i="1" a="1"/>
  <c r="N2102" i="1"/>
  <c r="M2102" i="1"/>
  <c r="O2101" i="1"/>
  <c r="O2101" i="1" a="1"/>
  <c r="N2101" i="1"/>
  <c r="M2101" i="1"/>
  <c r="O2100" i="1"/>
  <c r="O2100" i="1" a="1"/>
  <c r="N2100" i="1"/>
  <c r="M2100" i="1"/>
  <c r="O2099" i="1"/>
  <c r="O2099" i="1" a="1"/>
  <c r="N2099" i="1"/>
  <c r="M2099" i="1"/>
  <c r="O2098" i="1"/>
  <c r="O2098" i="1" a="1"/>
  <c r="N2098" i="1"/>
  <c r="M2098" i="1"/>
  <c r="O2097" i="1"/>
  <c r="O2097" i="1" a="1"/>
  <c r="N2097" i="1"/>
  <c r="M2097" i="1"/>
  <c r="O2096" i="1"/>
  <c r="O2096" i="1" a="1"/>
  <c r="N2096" i="1"/>
  <c r="M2096" i="1"/>
  <c r="O2095" i="1"/>
  <c r="O2095" i="1" a="1"/>
  <c r="N2095" i="1"/>
  <c r="M2095" i="1"/>
  <c r="O2094" i="1"/>
  <c r="O2094" i="1" a="1"/>
  <c r="N2094" i="1"/>
  <c r="M2094" i="1"/>
  <c r="O2093" i="1"/>
  <c r="O2093" i="1" a="1"/>
  <c r="N2093" i="1"/>
  <c r="M2093" i="1"/>
  <c r="O2092" i="1"/>
  <c r="O2092" i="1" a="1"/>
  <c r="N2092" i="1"/>
  <c r="M2092" i="1"/>
  <c r="O2091" i="1"/>
  <c r="O2091" i="1" a="1"/>
  <c r="N2091" i="1"/>
  <c r="M2091" i="1"/>
  <c r="O2090" i="1"/>
  <c r="O2090" i="1" a="1"/>
  <c r="N2090" i="1"/>
  <c r="M2090" i="1"/>
  <c r="O2089" i="1"/>
  <c r="O2089" i="1" a="1"/>
  <c r="N2089" i="1"/>
  <c r="M2089" i="1"/>
  <c r="O2088" i="1"/>
  <c r="O2088" i="1" a="1"/>
  <c r="N2088" i="1"/>
  <c r="M2088" i="1"/>
  <c r="O2087" i="1"/>
  <c r="O2087" i="1" a="1"/>
  <c r="N2087" i="1"/>
  <c r="M2087" i="1"/>
  <c r="O2086" i="1"/>
  <c r="O2086" i="1" a="1"/>
  <c r="N2086" i="1"/>
  <c r="M2086" i="1"/>
  <c r="O2085" i="1"/>
  <c r="O2085" i="1" a="1"/>
  <c r="N2085" i="1"/>
  <c r="M2085" i="1"/>
  <c r="O2084" i="1"/>
  <c r="O2084" i="1" a="1"/>
  <c r="N2084" i="1"/>
  <c r="M2084" i="1"/>
  <c r="O2083" i="1"/>
  <c r="O2083" i="1" a="1"/>
  <c r="N2083" i="1"/>
  <c r="M2083" i="1"/>
  <c r="O2082" i="1"/>
  <c r="O2082" i="1" a="1"/>
  <c r="N2082" i="1"/>
  <c r="M2082" i="1"/>
  <c r="O2081" i="1"/>
  <c r="O2081" i="1" a="1"/>
  <c r="N2081" i="1"/>
  <c r="M2081" i="1"/>
  <c r="O2080" i="1"/>
  <c r="O2080" i="1" a="1"/>
  <c r="N2080" i="1"/>
  <c r="M2080" i="1"/>
  <c r="O2079" i="1"/>
  <c r="O2079" i="1" a="1"/>
  <c r="N2079" i="1"/>
  <c r="M2079" i="1"/>
  <c r="O2078" i="1"/>
  <c r="O2078" i="1" a="1"/>
  <c r="N2078" i="1"/>
  <c r="M2078" i="1"/>
  <c r="O2077" i="1"/>
  <c r="O2077" i="1" a="1"/>
  <c r="N2077" i="1"/>
  <c r="M2077" i="1"/>
  <c r="O2076" i="1"/>
  <c r="O2076" i="1" a="1"/>
  <c r="N2076" i="1"/>
  <c r="M2076" i="1"/>
  <c r="O2075" i="1"/>
  <c r="O2075" i="1" a="1"/>
  <c r="N2075" i="1"/>
  <c r="M2075" i="1"/>
  <c r="O2074" i="1"/>
  <c r="O2074" i="1" a="1"/>
  <c r="N2074" i="1"/>
  <c r="M2074" i="1"/>
  <c r="O2073" i="1"/>
  <c r="O2073" i="1" a="1"/>
  <c r="N2073" i="1"/>
  <c r="M2073" i="1"/>
  <c r="O2072" i="1"/>
  <c r="O2072" i="1" a="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c r="O2065" i="1" a="1"/>
  <c r="N2065" i="1"/>
  <c r="M2065" i="1"/>
  <c r="O2064" i="1"/>
  <c r="O2064" i="1" a="1"/>
  <c r="N2064" i="1"/>
  <c r="M2064" i="1"/>
  <c r="O2063" i="1"/>
  <c r="O2063" i="1" a="1"/>
  <c r="N2063" i="1"/>
  <c r="M2063" i="1"/>
  <c r="O2062" i="1"/>
  <c r="O2062" i="1" a="1"/>
  <c r="N2062" i="1"/>
  <c r="M2062" i="1"/>
  <c r="O2061" i="1"/>
  <c r="O2061" i="1" a="1"/>
  <c r="N2061" i="1"/>
  <c r="M2061" i="1"/>
  <c r="O2060" i="1"/>
  <c r="O2060" i="1" a="1"/>
  <c r="N2060" i="1"/>
  <c r="M2060" i="1"/>
  <c r="O2059" i="1"/>
  <c r="O2059" i="1" a="1"/>
  <c r="N2059" i="1"/>
  <c r="M2059" i="1"/>
  <c r="O2058" i="1"/>
  <c r="O2058" i="1" a="1"/>
  <c r="N2058" i="1"/>
  <c r="M2058" i="1"/>
  <c r="O2057" i="1"/>
  <c r="O2057" i="1" a="1"/>
  <c r="N2057" i="1"/>
  <c r="M2057" i="1"/>
  <c r="O2056" i="1"/>
  <c r="O2056" i="1" a="1"/>
  <c r="N2056" i="1"/>
  <c r="M2056" i="1"/>
  <c r="O2055" i="1"/>
  <c r="O2055" i="1" a="1"/>
  <c r="N2055" i="1"/>
  <c r="M2055" i="1"/>
  <c r="O2054" i="1"/>
  <c r="O2054" i="1" a="1"/>
  <c r="N2054" i="1"/>
  <c r="M2054" i="1"/>
  <c r="O2053" i="1"/>
  <c r="O2053" i="1" a="1"/>
  <c r="N2053" i="1"/>
  <c r="M2053" i="1"/>
  <c r="O2052" i="1"/>
  <c r="O2052" i="1" a="1"/>
  <c r="N2052" i="1"/>
  <c r="M2052" i="1"/>
  <c r="O2051" i="1"/>
  <c r="O2051" i="1" a="1"/>
  <c r="N2051" i="1"/>
  <c r="M2051" i="1"/>
  <c r="O2050" i="1"/>
  <c r="O2050" i="1" a="1"/>
  <c r="N2050" i="1"/>
  <c r="M2050" i="1"/>
  <c r="O2049" i="1"/>
  <c r="O2049" i="1" a="1"/>
  <c r="N2049" i="1"/>
  <c r="M2049" i="1"/>
  <c r="O2048" i="1"/>
  <c r="O2048" i="1" a="1"/>
  <c r="N2048" i="1"/>
  <c r="M2048" i="1"/>
  <c r="O2047" i="1"/>
  <c r="O2047" i="1" a="1"/>
  <c r="N2047" i="1"/>
  <c r="M2047" i="1"/>
  <c r="O2046" i="1"/>
  <c r="O2046" i="1" a="1"/>
  <c r="N2046" i="1"/>
  <c r="M2046" i="1"/>
  <c r="O2045" i="1"/>
  <c r="O2045" i="1" a="1"/>
  <c r="N2045" i="1"/>
  <c r="M2045" i="1"/>
  <c r="O2044" i="1"/>
  <c r="O2044" i="1" a="1"/>
  <c r="N2044" i="1"/>
  <c r="M2044" i="1"/>
  <c r="O2043" i="1"/>
  <c r="O2043" i="1" a="1"/>
  <c r="N2043" i="1"/>
  <c r="M2043" i="1"/>
  <c r="O2042" i="1"/>
  <c r="O2042" i="1" a="1"/>
  <c r="N2042" i="1"/>
  <c r="M2042" i="1"/>
  <c r="O2041" i="1"/>
  <c r="O2041" i="1" a="1"/>
  <c r="N2041" i="1"/>
  <c r="M2041" i="1"/>
  <c r="O2040" i="1"/>
  <c r="O2040" i="1" a="1"/>
  <c r="N2040" i="1"/>
  <c r="M2040" i="1"/>
  <c r="O2039" i="1"/>
  <c r="O2039" i="1" a="1"/>
  <c r="N2039" i="1"/>
  <c r="M2039" i="1"/>
  <c r="O2038" i="1"/>
  <c r="O2038" i="1" a="1"/>
  <c r="N2038" i="1"/>
  <c r="M2038" i="1"/>
  <c r="O2037" i="1"/>
  <c r="O2037" i="1" a="1"/>
  <c r="N2037" i="1"/>
  <c r="M2037" i="1"/>
  <c r="O2036" i="1"/>
  <c r="O2036" i="1" a="1"/>
  <c r="N2036" i="1"/>
  <c r="M2036" i="1"/>
  <c r="O2035" i="1"/>
  <c r="O2035" i="1" a="1"/>
  <c r="N2035" i="1"/>
  <c r="M2035" i="1"/>
  <c r="O2034" i="1"/>
  <c r="O2034" i="1" a="1"/>
  <c r="N2034" i="1"/>
  <c r="M2034" i="1"/>
  <c r="O2033" i="1"/>
  <c r="O2033" i="1" a="1"/>
  <c r="N2033" i="1"/>
  <c r="M2033" i="1"/>
  <c r="O2032" i="1"/>
  <c r="O2032" i="1" a="1"/>
  <c r="N2032" i="1"/>
  <c r="M2032" i="1"/>
  <c r="O2031" i="1"/>
  <c r="O2031" i="1" a="1"/>
  <c r="N2031" i="1"/>
  <c r="M2031" i="1"/>
  <c r="O2030" i="1"/>
  <c r="O2030" i="1" a="1"/>
  <c r="N2030" i="1"/>
  <c r="M2030" i="1"/>
  <c r="O2029" i="1"/>
  <c r="O2029" i="1" a="1"/>
  <c r="N2029" i="1"/>
  <c r="M2029" i="1"/>
  <c r="O2028" i="1"/>
  <c r="O2028" i="1" a="1"/>
  <c r="N2028" i="1"/>
  <c r="M2028" i="1"/>
  <c r="O2027" i="1"/>
  <c r="O2027" i="1" a="1"/>
  <c r="N2027" i="1"/>
  <c r="M2027" i="1"/>
  <c r="O2026" i="1"/>
  <c r="O2026" i="1" a="1"/>
  <c r="N2026" i="1"/>
  <c r="M2026" i="1"/>
  <c r="O2025" i="1"/>
  <c r="O2025" i="1" a="1"/>
  <c r="N2025" i="1"/>
  <c r="M2025" i="1"/>
  <c r="O2024" i="1"/>
  <c r="O2024" i="1" a="1"/>
  <c r="N2024" i="1"/>
  <c r="M2024" i="1"/>
  <c r="O2023" i="1"/>
  <c r="O2023" i="1" a="1"/>
  <c r="N2023" i="1"/>
  <c r="M2023" i="1"/>
  <c r="O2022" i="1"/>
  <c r="O2022" i="1" a="1"/>
  <c r="N2022" i="1"/>
  <c r="M2022" i="1"/>
  <c r="O2021" i="1"/>
  <c r="O2021" i="1" a="1"/>
  <c r="N2021" i="1"/>
  <c r="M2021" i="1"/>
  <c r="O2020" i="1"/>
  <c r="O2020" i="1" a="1"/>
  <c r="N2020" i="1"/>
  <c r="M2020" i="1"/>
  <c r="O2019" i="1"/>
  <c r="O2019" i="1" a="1"/>
  <c r="N2019" i="1"/>
  <c r="M2019" i="1"/>
  <c r="O2018" i="1"/>
  <c r="O2018" i="1" a="1"/>
  <c r="N2018" i="1"/>
  <c r="M2018" i="1"/>
  <c r="O2017" i="1"/>
  <c r="O2017" i="1" a="1"/>
  <c r="N2017" i="1"/>
  <c r="M2017" i="1"/>
  <c r="O2016" i="1"/>
  <c r="O2016" i="1" a="1"/>
  <c r="N2016" i="1"/>
  <c r="M2016" i="1"/>
  <c r="O2015" i="1"/>
  <c r="O2015" i="1" a="1"/>
  <c r="N2015" i="1"/>
  <c r="M2015" i="1"/>
  <c r="O2014" i="1"/>
  <c r="O2014" i="1" a="1"/>
  <c r="N2014" i="1"/>
  <c r="M2014" i="1"/>
  <c r="O2013" i="1"/>
  <c r="O2013" i="1" a="1"/>
  <c r="N2013" i="1"/>
  <c r="M2013" i="1"/>
  <c r="O2012" i="1"/>
  <c r="O2012" i="1" a="1"/>
  <c r="N2012" i="1"/>
  <c r="M2012" i="1"/>
  <c r="O2011" i="1"/>
  <c r="O2011" i="1" a="1"/>
  <c r="N2011" i="1"/>
  <c r="M2011" i="1"/>
  <c r="O2010" i="1"/>
  <c r="O2010" i="1" a="1"/>
  <c r="N2010" i="1"/>
  <c r="M2010" i="1"/>
  <c r="O2009" i="1"/>
  <c r="O2009" i="1" a="1"/>
  <c r="N2009" i="1"/>
  <c r="M2009" i="1"/>
  <c r="O2008" i="1"/>
  <c r="O2008" i="1" a="1"/>
  <c r="N2008" i="1"/>
  <c r="M2008" i="1"/>
  <c r="O2007" i="1"/>
  <c r="O2007" i="1" a="1"/>
  <c r="N2007" i="1"/>
  <c r="M2007" i="1"/>
  <c r="O2006" i="1"/>
  <c r="O2006" i="1" a="1"/>
  <c r="N2006" i="1"/>
  <c r="M2006" i="1"/>
  <c r="O2005" i="1"/>
  <c r="O2005" i="1" a="1"/>
  <c r="N2005" i="1"/>
  <c r="M2005" i="1"/>
  <c r="O2004" i="1"/>
  <c r="O2004" i="1" a="1"/>
  <c r="N2004" i="1"/>
  <c r="M2004" i="1"/>
  <c r="O2003" i="1"/>
  <c r="O2003" i="1" a="1"/>
  <c r="N2003" i="1"/>
  <c r="M2003" i="1"/>
  <c r="O2002" i="1"/>
  <c r="O2002" i="1" a="1"/>
  <c r="N2002" i="1"/>
  <c r="M2002" i="1"/>
  <c r="O2001" i="1"/>
  <c r="O2001" i="1" a="1"/>
  <c r="N2001" i="1"/>
  <c r="M2001" i="1"/>
  <c r="O2000" i="1"/>
  <c r="O2000" i="1" a="1"/>
  <c r="N2000" i="1"/>
  <c r="M2000" i="1"/>
  <c r="O1999" i="1"/>
  <c r="O1999" i="1" a="1"/>
  <c r="N1999" i="1"/>
  <c r="M1999" i="1"/>
  <c r="O1998" i="1"/>
  <c r="O1998" i="1" a="1"/>
  <c r="N1998" i="1"/>
  <c r="M1998" i="1"/>
  <c r="O1997" i="1"/>
  <c r="O1997" i="1" a="1"/>
  <c r="N1997" i="1"/>
  <c r="M1997" i="1"/>
  <c r="O1996" i="1"/>
  <c r="O1996" i="1" a="1"/>
  <c r="N1996" i="1"/>
  <c r="M1996" i="1"/>
  <c r="O1995" i="1"/>
  <c r="O1995" i="1" a="1"/>
  <c r="N1995" i="1"/>
  <c r="M1995" i="1"/>
  <c r="O1994" i="1"/>
  <c r="O1994" i="1" a="1"/>
  <c r="N1994" i="1"/>
  <c r="M1994" i="1"/>
  <c r="O1993" i="1"/>
  <c r="O1993" i="1" a="1"/>
  <c r="N1993" i="1"/>
  <c r="M1993" i="1"/>
  <c r="O1992" i="1"/>
  <c r="O1992" i="1" a="1"/>
  <c r="N1992" i="1"/>
  <c r="M1992" i="1"/>
  <c r="O1991" i="1"/>
  <c r="O1991" i="1" a="1"/>
  <c r="N1991" i="1"/>
  <c r="M1991" i="1"/>
  <c r="O1990" i="1"/>
  <c r="O1990" i="1" a="1"/>
  <c r="N1990" i="1"/>
  <c r="M1990" i="1"/>
  <c r="O1989" i="1"/>
  <c r="O1989" i="1" a="1"/>
  <c r="N1989" i="1"/>
  <c r="M1989" i="1"/>
  <c r="O1988" i="1"/>
  <c r="O1988" i="1" a="1"/>
  <c r="N1988" i="1"/>
  <c r="M1988" i="1"/>
  <c r="O1987" i="1"/>
  <c r="O1987" i="1" a="1"/>
  <c r="N1987" i="1"/>
  <c r="M1987" i="1"/>
  <c r="O1986" i="1"/>
  <c r="O1986" i="1" a="1"/>
  <c r="N1986" i="1"/>
  <c r="M1986" i="1"/>
  <c r="O1985" i="1"/>
  <c r="O1985" i="1" a="1"/>
  <c r="N1985" i="1"/>
  <c r="M1985" i="1"/>
  <c r="O1984" i="1"/>
  <c r="O1984" i="1" a="1"/>
  <c r="N1984" i="1"/>
  <c r="M1984" i="1"/>
  <c r="O1983" i="1"/>
  <c r="O1983" i="1" a="1"/>
  <c r="N1983" i="1"/>
  <c r="M1983" i="1"/>
  <c r="O1982" i="1"/>
  <c r="O1982" i="1" a="1"/>
  <c r="N1982" i="1"/>
  <c r="M1982" i="1"/>
  <c r="O1981" i="1"/>
  <c r="O1981" i="1" a="1"/>
  <c r="N1981" i="1"/>
  <c r="M1981" i="1"/>
  <c r="O1980" i="1"/>
  <c r="O1980" i="1" a="1"/>
  <c r="N1980" i="1"/>
  <c r="M1980" i="1"/>
  <c r="O1979" i="1"/>
  <c r="O1979" i="1" a="1"/>
  <c r="N1979" i="1"/>
  <c r="M1979" i="1"/>
  <c r="O1978" i="1"/>
  <c r="O1978" i="1" a="1"/>
  <c r="N1978" i="1"/>
  <c r="M1978" i="1"/>
  <c r="O1977" i="1"/>
  <c r="O1977" i="1" a="1"/>
  <c r="N1977" i="1"/>
  <c r="M1977" i="1"/>
  <c r="O1976" i="1"/>
  <c r="O1976" i="1" a="1"/>
  <c r="N1976" i="1"/>
  <c r="M1976" i="1"/>
  <c r="O1975" i="1"/>
  <c r="O1975" i="1" a="1"/>
  <c r="N1975" i="1"/>
  <c r="M1975" i="1"/>
  <c r="O1974" i="1"/>
  <c r="O1974" i="1" a="1"/>
  <c r="N1974" i="1"/>
  <c r="M1974" i="1"/>
  <c r="O1973" i="1"/>
  <c r="O1973" i="1" a="1"/>
  <c r="N1973" i="1"/>
  <c r="M1973" i="1"/>
  <c r="O1972" i="1"/>
  <c r="O1972" i="1" a="1"/>
  <c r="N1972" i="1"/>
  <c r="M1972" i="1"/>
  <c r="O1971" i="1"/>
  <c r="O1971" i="1" a="1"/>
  <c r="N1971" i="1"/>
  <c r="M1971" i="1"/>
  <c r="O1970" i="1"/>
  <c r="O1970" i="1" a="1"/>
  <c r="N1970" i="1"/>
  <c r="M1970" i="1"/>
  <c r="O1969" i="1"/>
  <c r="O1969" i="1" a="1"/>
  <c r="N1969" i="1"/>
  <c r="M1969" i="1"/>
  <c r="O1968" i="1"/>
  <c r="O1968" i="1" a="1"/>
  <c r="N1968" i="1"/>
  <c r="M1968" i="1"/>
  <c r="O1967" i="1"/>
  <c r="O1967" i="1" a="1"/>
  <c r="N1967" i="1"/>
  <c r="M1967" i="1"/>
  <c r="O1966" i="1"/>
  <c r="O1966" i="1" a="1"/>
  <c r="N1966" i="1"/>
  <c r="M1966" i="1"/>
  <c r="O1965" i="1"/>
  <c r="O1965" i="1" a="1"/>
  <c r="N1965" i="1"/>
  <c r="M1965" i="1"/>
  <c r="O1964" i="1"/>
  <c r="O1964" i="1" a="1"/>
  <c r="N1964" i="1"/>
  <c r="M1964" i="1"/>
  <c r="O1963" i="1"/>
  <c r="O1963" i="1" a="1"/>
  <c r="N1963" i="1"/>
  <c r="M1963" i="1"/>
  <c r="O1962" i="1"/>
  <c r="O1962" i="1" a="1"/>
  <c r="N1962" i="1"/>
  <c r="M1962" i="1"/>
  <c r="O1961" i="1"/>
  <c r="O1961" i="1" a="1"/>
  <c r="N1961" i="1"/>
  <c r="M1961" i="1"/>
  <c r="O1960" i="1"/>
  <c r="O1960" i="1" a="1"/>
  <c r="N1960" i="1"/>
  <c r="M1960" i="1"/>
  <c r="O1959" i="1"/>
  <c r="O1959" i="1" a="1"/>
  <c r="N1959" i="1"/>
  <c r="M1959" i="1"/>
  <c r="O1958" i="1"/>
  <c r="O1958" i="1" a="1"/>
  <c r="N1958" i="1"/>
  <c r="M1958" i="1"/>
  <c r="O1957" i="1"/>
  <c r="O1957" i="1" a="1"/>
  <c r="N1957" i="1"/>
  <c r="M1957" i="1"/>
  <c r="O1956" i="1"/>
  <c r="O1956" i="1" a="1"/>
  <c r="N1956" i="1"/>
  <c r="M1956" i="1"/>
  <c r="O1955" i="1"/>
  <c r="O1955" i="1" a="1"/>
  <c r="N1955" i="1"/>
  <c r="M1955" i="1"/>
  <c r="O1954" i="1"/>
  <c r="O1954" i="1" a="1"/>
  <c r="N1954" i="1"/>
  <c r="M1954" i="1"/>
  <c r="O1953" i="1"/>
  <c r="O1953" i="1" a="1"/>
  <c r="N1953" i="1"/>
  <c r="M1953" i="1"/>
  <c r="O1952" i="1"/>
  <c r="O1952" i="1" a="1"/>
  <c r="N1952" i="1"/>
  <c r="M1952" i="1"/>
  <c r="O1951" i="1"/>
  <c r="O1951" i="1" a="1"/>
  <c r="N1951" i="1"/>
  <c r="M1951" i="1"/>
  <c r="O1950" i="1"/>
  <c r="O1950" i="1" a="1"/>
  <c r="N1950" i="1"/>
  <c r="M1950" i="1"/>
  <c r="O1949" i="1"/>
  <c r="O1949" i="1" a="1"/>
  <c r="N1949" i="1"/>
  <c r="M1949" i="1"/>
  <c r="O1948" i="1"/>
  <c r="O1948" i="1" a="1"/>
  <c r="N1948" i="1"/>
  <c r="M1948" i="1"/>
  <c r="O1947" i="1"/>
  <c r="O1947" i="1" a="1"/>
  <c r="N1947" i="1"/>
  <c r="M1947" i="1"/>
  <c r="O1946" i="1"/>
  <c r="O1946" i="1" a="1"/>
  <c r="N1946" i="1"/>
  <c r="M1946" i="1"/>
  <c r="O1945" i="1"/>
  <c r="O1945" i="1" a="1"/>
  <c r="N1945" i="1"/>
  <c r="M1945" i="1"/>
  <c r="O1944" i="1"/>
  <c r="O1944" i="1" a="1"/>
  <c r="N1944" i="1"/>
  <c r="M1944" i="1"/>
  <c r="O1943" i="1"/>
  <c r="O1943" i="1" a="1"/>
  <c r="N1943" i="1"/>
  <c r="M1943" i="1"/>
  <c r="O1942" i="1"/>
  <c r="O1942" i="1" a="1"/>
  <c r="N1942" i="1"/>
  <c r="M1942" i="1"/>
  <c r="O1941" i="1"/>
  <c r="O1941" i="1" a="1"/>
  <c r="N1941" i="1"/>
  <c r="M1941" i="1"/>
  <c r="O1940" i="1"/>
  <c r="O1940" i="1" a="1"/>
  <c r="N1940" i="1"/>
  <c r="M1940" i="1"/>
  <c r="O1939" i="1"/>
  <c r="O1939" i="1" a="1"/>
  <c r="N1939" i="1"/>
  <c r="M1939" i="1"/>
  <c r="O1938" i="1"/>
  <c r="O1938" i="1" a="1"/>
  <c r="N1938" i="1"/>
  <c r="M1938" i="1"/>
  <c r="O1937" i="1"/>
  <c r="O1937" i="1" a="1"/>
  <c r="N1937" i="1"/>
  <c r="M1937" i="1"/>
  <c r="O1936" i="1"/>
  <c r="O1936" i="1" a="1"/>
  <c r="N1936" i="1"/>
  <c r="M1936" i="1"/>
  <c r="O1935" i="1"/>
  <c r="O1935" i="1" a="1"/>
  <c r="N1935" i="1"/>
  <c r="M1935" i="1"/>
  <c r="O1934" i="1"/>
  <c r="O1934" i="1" a="1"/>
  <c r="N1934" i="1"/>
  <c r="M1934" i="1"/>
  <c r="O1933" i="1"/>
  <c r="O1933" i="1" a="1"/>
  <c r="N1933" i="1"/>
  <c r="M1933" i="1"/>
  <c r="O1932" i="1"/>
  <c r="O1932" i="1" a="1"/>
  <c r="N1932" i="1"/>
  <c r="M1932" i="1"/>
  <c r="O1931" i="1"/>
  <c r="O1931" i="1" a="1"/>
  <c r="N1931" i="1"/>
  <c r="M1931" i="1"/>
  <c r="O1930" i="1"/>
  <c r="O1930" i="1" a="1"/>
  <c r="N1930" i="1"/>
  <c r="M1930" i="1"/>
  <c r="O1929" i="1"/>
  <c r="O1929" i="1" a="1"/>
  <c r="N1929" i="1"/>
  <c r="M1929" i="1"/>
  <c r="O1928" i="1"/>
  <c r="O1928" i="1" a="1"/>
  <c r="N1928" i="1"/>
  <c r="M1928" i="1"/>
  <c r="O1927" i="1"/>
  <c r="O1927" i="1" a="1"/>
  <c r="N1927" i="1"/>
  <c r="M1927" i="1"/>
  <c r="O1926" i="1"/>
  <c r="O1926" i="1" a="1"/>
  <c r="N1926" i="1"/>
  <c r="M1926" i="1"/>
  <c r="O1925" i="1"/>
  <c r="O1925" i="1" a="1"/>
  <c r="N1925" i="1"/>
  <c r="M1925" i="1"/>
  <c r="O1924" i="1"/>
  <c r="O1924" i="1" a="1"/>
  <c r="N1924" i="1"/>
  <c r="M1924" i="1"/>
  <c r="O1923" i="1"/>
  <c r="O1923" i="1" a="1"/>
  <c r="N1923" i="1"/>
  <c r="M1923" i="1"/>
  <c r="O1922" i="1"/>
  <c r="O1922" i="1" a="1"/>
  <c r="N1922" i="1"/>
  <c r="M1922" i="1"/>
  <c r="O1921" i="1"/>
  <c r="O1921" i="1" a="1"/>
  <c r="N1921" i="1"/>
  <c r="M1921" i="1"/>
  <c r="O1920" i="1"/>
  <c r="O1920" i="1" a="1"/>
  <c r="N1920" i="1"/>
  <c r="M1920" i="1"/>
  <c r="O1919" i="1"/>
  <c r="O1919" i="1" a="1"/>
  <c r="N1919" i="1"/>
  <c r="M1919" i="1"/>
  <c r="O1918" i="1"/>
  <c r="O1918" i="1" a="1"/>
  <c r="N1918" i="1"/>
  <c r="M1918" i="1"/>
  <c r="O1917" i="1"/>
  <c r="O1917" i="1" a="1"/>
  <c r="N1917" i="1"/>
  <c r="M1917" i="1"/>
  <c r="O1916" i="1"/>
  <c r="O1916" i="1" a="1"/>
  <c r="N1916" i="1"/>
  <c r="M1916" i="1"/>
  <c r="O1915" i="1"/>
  <c r="O1915" i="1" a="1"/>
  <c r="N1915" i="1"/>
  <c r="M1915" i="1"/>
  <c r="O1914" i="1"/>
  <c r="O1914" i="1" a="1"/>
  <c r="N1914" i="1"/>
  <c r="M1914" i="1"/>
  <c r="O1913" i="1"/>
  <c r="O1913" i="1" a="1"/>
  <c r="N1913" i="1"/>
  <c r="M1913" i="1"/>
  <c r="O1912" i="1"/>
  <c r="O1912" i="1" a="1"/>
  <c r="N1912" i="1"/>
  <c r="M1912" i="1"/>
  <c r="O1911" i="1"/>
  <c r="O1911" i="1" a="1"/>
  <c r="N1911" i="1"/>
  <c r="M1911" i="1"/>
  <c r="O1910" i="1"/>
  <c r="O1910" i="1" a="1"/>
  <c r="N1910" i="1"/>
  <c r="M1910" i="1"/>
  <c r="O1909" i="1"/>
  <c r="O1909" i="1" a="1"/>
  <c r="N1909" i="1"/>
  <c r="M1909" i="1"/>
  <c r="O1908" i="1"/>
  <c r="O1908" i="1" a="1"/>
  <c r="N1908" i="1"/>
  <c r="M1908" i="1"/>
  <c r="O1907" i="1"/>
  <c r="O1907" i="1" a="1"/>
  <c r="N1907" i="1"/>
  <c r="M1907" i="1"/>
  <c r="O1906" i="1"/>
  <c r="O1906" i="1" a="1"/>
  <c r="N1906" i="1"/>
  <c r="M1906" i="1"/>
  <c r="O1905" i="1"/>
  <c r="O1905" i="1" a="1"/>
  <c r="N1905" i="1"/>
  <c r="M1905" i="1"/>
  <c r="O1904" i="1"/>
  <c r="O1904" i="1" a="1"/>
  <c r="N1904" i="1"/>
  <c r="M1904" i="1"/>
  <c r="O1903" i="1"/>
  <c r="O1903" i="1" a="1"/>
  <c r="N1903" i="1"/>
  <c r="M1903" i="1"/>
  <c r="O1902" i="1"/>
  <c r="O1902" i="1" a="1"/>
  <c r="N1902" i="1"/>
  <c r="M1902" i="1"/>
  <c r="O1901" i="1"/>
  <c r="O1901" i="1" a="1"/>
  <c r="N1901" i="1"/>
  <c r="M1901" i="1"/>
  <c r="O1900" i="1"/>
  <c r="O1900" i="1" a="1"/>
  <c r="N1900" i="1"/>
  <c r="M1900" i="1"/>
  <c r="O1899" i="1"/>
  <c r="O1899" i="1" a="1"/>
  <c r="N1899" i="1"/>
  <c r="M1899" i="1"/>
  <c r="O1898" i="1"/>
  <c r="O1898" i="1" a="1"/>
  <c r="N1898" i="1"/>
  <c r="M1898" i="1"/>
  <c r="O1897" i="1"/>
  <c r="O1897" i="1" a="1"/>
  <c r="N1897" i="1"/>
  <c r="M1897" i="1"/>
  <c r="O1896" i="1"/>
  <c r="O1896" i="1" a="1"/>
  <c r="N1896" i="1"/>
  <c r="M1896" i="1"/>
  <c r="O1895" i="1"/>
  <c r="O1895" i="1" a="1"/>
  <c r="N1895" i="1"/>
  <c r="M1895" i="1"/>
  <c r="O1894" i="1"/>
  <c r="O1894" i="1" a="1"/>
  <c r="N1894" i="1"/>
  <c r="M1894" i="1"/>
  <c r="O1893" i="1"/>
  <c r="O1893" i="1" a="1"/>
  <c r="N1893" i="1"/>
  <c r="M1893" i="1"/>
  <c r="O1892" i="1"/>
  <c r="O1892" i="1" a="1"/>
  <c r="N1892" i="1"/>
  <c r="M1892" i="1"/>
  <c r="O1891" i="1"/>
  <c r="O1891" i="1" a="1"/>
  <c r="N1891" i="1"/>
  <c r="M1891" i="1"/>
  <c r="O1890" i="1"/>
  <c r="O1890" i="1" a="1"/>
  <c r="N1890" i="1"/>
  <c r="M1890" i="1"/>
  <c r="O1889" i="1"/>
  <c r="O1889" i="1" a="1"/>
  <c r="N1889" i="1"/>
  <c r="M1889" i="1"/>
  <c r="O1888" i="1"/>
  <c r="O1888" i="1" a="1"/>
  <c r="N1888" i="1"/>
  <c r="M1888" i="1"/>
  <c r="O1887" i="1"/>
  <c r="O1887" i="1" a="1"/>
  <c r="N1887" i="1"/>
  <c r="M1887" i="1"/>
  <c r="O1886" i="1"/>
  <c r="O1886" i="1" a="1"/>
  <c r="N1886" i="1"/>
  <c r="M1886" i="1"/>
  <c r="O1885" i="1"/>
  <c r="O1885" i="1" a="1"/>
  <c r="N1885" i="1"/>
  <c r="M1885" i="1"/>
  <c r="O1884" i="1"/>
  <c r="O1884" i="1" a="1"/>
  <c r="N1884" i="1"/>
  <c r="M1884" i="1"/>
  <c r="O1883" i="1"/>
  <c r="O1883" i="1" a="1"/>
  <c r="N1883" i="1"/>
  <c r="M1883" i="1"/>
  <c r="O1882" i="1"/>
  <c r="O1882" i="1" a="1"/>
  <c r="N1882" i="1"/>
  <c r="M1882" i="1"/>
  <c r="O1881" i="1"/>
  <c r="O1881" i="1" a="1"/>
  <c r="N1881" i="1"/>
  <c r="M1881" i="1"/>
  <c r="O1880" i="1"/>
  <c r="O1880" i="1" a="1"/>
  <c r="N1880" i="1"/>
  <c r="M1880" i="1"/>
  <c r="O1879" i="1"/>
  <c r="O1879" i="1" a="1"/>
  <c r="N1879" i="1"/>
  <c r="M1879" i="1"/>
  <c r="O1878" i="1"/>
  <c r="O1878" i="1" a="1"/>
  <c r="N1878" i="1"/>
  <c r="M1878" i="1"/>
  <c r="O1877" i="1"/>
  <c r="O1877" i="1" a="1"/>
  <c r="N1877" i="1"/>
  <c r="M1877" i="1"/>
  <c r="O1876" i="1"/>
  <c r="O1876" i="1" a="1"/>
  <c r="N1876" i="1"/>
  <c r="M1876" i="1"/>
  <c r="O1875" i="1"/>
  <c r="O1875" i="1" a="1"/>
  <c r="N1875" i="1"/>
  <c r="M1875" i="1"/>
  <c r="O1874" i="1"/>
  <c r="O1874" i="1" a="1"/>
  <c r="N1874" i="1"/>
  <c r="M1874" i="1"/>
  <c r="O1873" i="1"/>
  <c r="O1873" i="1" a="1"/>
  <c r="N1873" i="1"/>
  <c r="M1873" i="1"/>
  <c r="O1872" i="1"/>
  <c r="O1872" i="1" a="1"/>
  <c r="N1872" i="1"/>
  <c r="M1872" i="1"/>
  <c r="O1871" i="1"/>
  <c r="O1871" i="1" a="1"/>
  <c r="N1871" i="1"/>
  <c r="M1871" i="1"/>
  <c r="O1870" i="1"/>
  <c r="O1870" i="1" a="1"/>
  <c r="N1870" i="1"/>
  <c r="M1870" i="1"/>
  <c r="O1869" i="1"/>
  <c r="O1869" i="1" a="1"/>
  <c r="N1869" i="1"/>
  <c r="M1869" i="1"/>
  <c r="O1868" i="1"/>
  <c r="O1868" i="1" a="1"/>
  <c r="N1868" i="1"/>
  <c r="M1868" i="1"/>
  <c r="O1867" i="1"/>
  <c r="O1867" i="1" a="1"/>
  <c r="N1867" i="1"/>
  <c r="M1867" i="1"/>
  <c r="O1866" i="1"/>
  <c r="O1866" i="1" a="1"/>
  <c r="N1866" i="1"/>
  <c r="M1866" i="1"/>
  <c r="O1865" i="1"/>
  <c r="O1865" i="1" a="1"/>
  <c r="N1865" i="1"/>
  <c r="M1865" i="1"/>
  <c r="O1864" i="1"/>
  <c r="O1864" i="1" a="1"/>
  <c r="N1864" i="1"/>
  <c r="M1864" i="1"/>
  <c r="O1863" i="1"/>
  <c r="O1863" i="1" a="1"/>
  <c r="N1863" i="1"/>
  <c r="M1863" i="1"/>
  <c r="O1862" i="1"/>
  <c r="O1862" i="1" a="1"/>
  <c r="N1862" i="1"/>
  <c r="M1862" i="1"/>
  <c r="O1861" i="1"/>
  <c r="O1861" i="1" a="1"/>
  <c r="N1861" i="1"/>
  <c r="M1861" i="1"/>
  <c r="O1860" i="1"/>
  <c r="O1860" i="1" a="1"/>
  <c r="N1860" i="1"/>
  <c r="M1860" i="1"/>
  <c r="O1859" i="1"/>
  <c r="O1859" i="1" a="1"/>
  <c r="N1859" i="1"/>
  <c r="M1859" i="1"/>
  <c r="O1858" i="1"/>
  <c r="O1858" i="1" a="1"/>
  <c r="N1858" i="1"/>
  <c r="M1858" i="1"/>
  <c r="O1857" i="1"/>
  <c r="O1857" i="1" a="1"/>
  <c r="N1857" i="1"/>
  <c r="M1857" i="1"/>
  <c r="O1856" i="1"/>
  <c r="O1856" i="1" a="1"/>
  <c r="N1856" i="1"/>
  <c r="M1856" i="1"/>
  <c r="O1855" i="1"/>
  <c r="O1855" i="1" a="1"/>
  <c r="N1855" i="1"/>
  <c r="M1855" i="1"/>
  <c r="O1854" i="1"/>
  <c r="O1854" i="1" a="1"/>
  <c r="N1854" i="1"/>
  <c r="M1854" i="1"/>
  <c r="O1853" i="1"/>
  <c r="O1853" i="1" a="1"/>
  <c r="N1853" i="1"/>
  <c r="M1853" i="1"/>
  <c r="O1852" i="1"/>
  <c r="O1852" i="1" a="1"/>
  <c r="N1852" i="1"/>
  <c r="M1852" i="1"/>
  <c r="O1851" i="1"/>
  <c r="O1851" i="1" a="1"/>
  <c r="N1851" i="1"/>
  <c r="M1851" i="1"/>
  <c r="O1850" i="1"/>
  <c r="O1850" i="1" a="1"/>
  <c r="N1850" i="1"/>
  <c r="M1850" i="1"/>
  <c r="O1849" i="1"/>
  <c r="O1849" i="1" a="1"/>
  <c r="N1849" i="1"/>
  <c r="M1849" i="1"/>
  <c r="O1848" i="1"/>
  <c r="O1848" i="1" a="1"/>
  <c r="N1848" i="1"/>
  <c r="M1848" i="1"/>
  <c r="O1847" i="1"/>
  <c r="O1847" i="1" a="1"/>
  <c r="N1847" i="1"/>
  <c r="M1847" i="1"/>
  <c r="O1846" i="1"/>
  <c r="O1846" i="1" a="1"/>
  <c r="N1846" i="1"/>
  <c r="M1846" i="1"/>
  <c r="O1845" i="1"/>
  <c r="O1845" i="1" a="1"/>
  <c r="N1845" i="1"/>
  <c r="M1845" i="1"/>
  <c r="O1844" i="1"/>
  <c r="O1844" i="1" a="1"/>
  <c r="N1844" i="1"/>
  <c r="M1844" i="1"/>
  <c r="O1843" i="1"/>
  <c r="O1843" i="1" a="1"/>
  <c r="N1843" i="1"/>
  <c r="M1843" i="1"/>
  <c r="O1842" i="1"/>
  <c r="O1842" i="1" a="1"/>
  <c r="N1842" i="1"/>
  <c r="M1842" i="1"/>
  <c r="O1841" i="1"/>
  <c r="O1841" i="1" a="1"/>
  <c r="N1841" i="1"/>
  <c r="M1841" i="1"/>
  <c r="O1840" i="1"/>
  <c r="O1840" i="1" a="1"/>
  <c r="N1840" i="1"/>
  <c r="M1840" i="1"/>
  <c r="O1839" i="1"/>
  <c r="O1839" i="1" a="1"/>
  <c r="N1839" i="1"/>
  <c r="M1839" i="1"/>
  <c r="O1838" i="1"/>
  <c r="O1838" i="1" a="1"/>
  <c r="N1838" i="1"/>
  <c r="M1838" i="1"/>
  <c r="O1837" i="1"/>
  <c r="O1837" i="1" a="1"/>
  <c r="N1837" i="1"/>
  <c r="M1837" i="1"/>
  <c r="O1836" i="1"/>
  <c r="O1836" i="1" a="1"/>
  <c r="N1836" i="1"/>
  <c r="M1836" i="1"/>
  <c r="O1835" i="1"/>
  <c r="O1835" i="1" a="1"/>
  <c r="N1835" i="1"/>
  <c r="M1835" i="1"/>
  <c r="O1834" i="1"/>
  <c r="O1834" i="1" a="1"/>
  <c r="N1834" i="1"/>
  <c r="M1834" i="1"/>
  <c r="O1833" i="1"/>
  <c r="O1833" i="1" a="1"/>
  <c r="N1833" i="1"/>
  <c r="M1833" i="1"/>
  <c r="O1832" i="1"/>
  <c r="O1832" i="1" a="1"/>
  <c r="N1832" i="1"/>
  <c r="M1832" i="1"/>
  <c r="O1831" i="1"/>
  <c r="O1831" i="1" a="1"/>
  <c r="N1831" i="1"/>
  <c r="M1831" i="1"/>
  <c r="O1830" i="1"/>
  <c r="O1830" i="1" a="1"/>
  <c r="N1830" i="1"/>
  <c r="M1830" i="1"/>
  <c r="O1829" i="1"/>
  <c r="O1829" i="1" a="1"/>
  <c r="N1829" i="1"/>
  <c r="M1829" i="1"/>
  <c r="O1828" i="1"/>
  <c r="O1828" i="1" a="1"/>
  <c r="N1828" i="1"/>
  <c r="M1828" i="1"/>
  <c r="O1827" i="1"/>
  <c r="O1827" i="1" a="1"/>
  <c r="N1827" i="1"/>
  <c r="M1827" i="1"/>
  <c r="O1826" i="1"/>
  <c r="O1826" i="1" a="1"/>
  <c r="N1826" i="1"/>
  <c r="M1826" i="1"/>
  <c r="O1825" i="1"/>
  <c r="O1825" i="1" a="1"/>
  <c r="N1825" i="1"/>
  <c r="M1825" i="1"/>
  <c r="O1824" i="1"/>
  <c r="O1824" i="1" a="1"/>
  <c r="N1824" i="1"/>
  <c r="M1824" i="1"/>
  <c r="O1823" i="1"/>
  <c r="O1823" i="1" a="1"/>
  <c r="N1823" i="1"/>
  <c r="M1823" i="1"/>
  <c r="O1822" i="1"/>
  <c r="O1822" i="1" a="1"/>
  <c r="N1822" i="1"/>
  <c r="M1822" i="1"/>
  <c r="O1821" i="1"/>
  <c r="O1821" i="1" a="1"/>
  <c r="N1821" i="1"/>
  <c r="M1821" i="1"/>
  <c r="O1820" i="1"/>
  <c r="O1820" i="1" a="1"/>
  <c r="N1820" i="1"/>
  <c r="M1820" i="1"/>
  <c r="O1819" i="1"/>
  <c r="O1819" i="1" a="1"/>
  <c r="N1819" i="1"/>
  <c r="M1819" i="1"/>
  <c r="O1818" i="1"/>
  <c r="O1818" i="1" a="1"/>
  <c r="N1818" i="1"/>
  <c r="M1818" i="1"/>
  <c r="O1817" i="1"/>
  <c r="O1817" i="1" a="1"/>
  <c r="N1817" i="1"/>
  <c r="M1817" i="1"/>
  <c r="O1816" i="1"/>
  <c r="O1816" i="1" a="1"/>
  <c r="N1816" i="1"/>
  <c r="M1816" i="1"/>
  <c r="O1815" i="1"/>
  <c r="O1815" i="1" a="1"/>
  <c r="N1815" i="1"/>
  <c r="M1815" i="1"/>
  <c r="O1814" i="1"/>
  <c r="O1814" i="1" a="1"/>
  <c r="N1814" i="1"/>
  <c r="M1814" i="1"/>
  <c r="O1813" i="1"/>
  <c r="O1813" i="1" a="1"/>
  <c r="N1813" i="1"/>
  <c r="M1813" i="1"/>
  <c r="O1812" i="1"/>
  <c r="O1812" i="1" a="1"/>
  <c r="N1812" i="1"/>
  <c r="M1812" i="1"/>
  <c r="O1811" i="1"/>
  <c r="O1811" i="1" a="1"/>
  <c r="N1811" i="1"/>
  <c r="M1811" i="1"/>
  <c r="O1810" i="1"/>
  <c r="O1810" i="1" a="1"/>
  <c r="N1810" i="1"/>
  <c r="M1810" i="1"/>
  <c r="O1809" i="1"/>
  <c r="O1809" i="1" a="1"/>
  <c r="N1809" i="1"/>
  <c r="M1809" i="1"/>
  <c r="O1808" i="1"/>
  <c r="O1808" i="1" a="1"/>
  <c r="N1808" i="1"/>
  <c r="M1808" i="1"/>
  <c r="O1807" i="1"/>
  <c r="O1807" i="1" a="1"/>
  <c r="N1807" i="1"/>
  <c r="M1807" i="1"/>
  <c r="O1806" i="1"/>
  <c r="O1806" i="1" a="1"/>
  <c r="N1806" i="1"/>
  <c r="M1806" i="1"/>
  <c r="O1805" i="1"/>
  <c r="O1805" i="1" a="1"/>
  <c r="N1805" i="1"/>
  <c r="M1805" i="1"/>
  <c r="O1804" i="1"/>
  <c r="O1804" i="1" a="1"/>
  <c r="N1804" i="1"/>
  <c r="M1804" i="1"/>
  <c r="O1803" i="1"/>
  <c r="O1803" i="1" a="1"/>
  <c r="N1803" i="1"/>
  <c r="M1803" i="1"/>
  <c r="O1802" i="1"/>
  <c r="O1802" i="1" a="1"/>
  <c r="N1802" i="1"/>
  <c r="M1802" i="1"/>
  <c r="O1801" i="1"/>
  <c r="O1801" i="1" a="1"/>
  <c r="N1801" i="1"/>
  <c r="M1801" i="1"/>
  <c r="O1800" i="1"/>
  <c r="O1800" i="1" a="1"/>
  <c r="N1800" i="1"/>
  <c r="M1800" i="1"/>
  <c r="O1799" i="1"/>
  <c r="O1799" i="1" a="1"/>
  <c r="N1799" i="1"/>
  <c r="M1799" i="1"/>
  <c r="O1798" i="1"/>
  <c r="O1798" i="1" a="1"/>
  <c r="N1798" i="1"/>
  <c r="M1798" i="1"/>
  <c r="O1797" i="1"/>
  <c r="O1797" i="1" a="1"/>
  <c r="N1797" i="1"/>
  <c r="M1797" i="1"/>
  <c r="O1796" i="1"/>
  <c r="O1796" i="1" a="1"/>
  <c r="N1796" i="1"/>
  <c r="M1796" i="1"/>
  <c r="O1795" i="1"/>
  <c r="O1795" i="1" a="1"/>
  <c r="N1795" i="1"/>
  <c r="M1795" i="1"/>
  <c r="O1794" i="1"/>
  <c r="O1794" i="1" a="1"/>
  <c r="N1794" i="1"/>
  <c r="M1794" i="1"/>
  <c r="O1793" i="1"/>
  <c r="O1793" i="1" a="1"/>
  <c r="N1793" i="1"/>
  <c r="M1793" i="1"/>
  <c r="O1792" i="1"/>
  <c r="O1792" i="1" a="1"/>
  <c r="N1792" i="1"/>
  <c r="M1792" i="1"/>
  <c r="O1791" i="1"/>
  <c r="O1791" i="1" a="1"/>
  <c r="N1791" i="1"/>
  <c r="M1791" i="1"/>
  <c r="O1790" i="1"/>
  <c r="O1790" i="1" a="1"/>
  <c r="N1790" i="1"/>
  <c r="M1790" i="1"/>
  <c r="O1789" i="1"/>
  <c r="O1789" i="1" a="1"/>
  <c r="N1789" i="1"/>
  <c r="M1789" i="1"/>
  <c r="O1788" i="1"/>
  <c r="O1788" i="1" a="1"/>
  <c r="N1788" i="1"/>
  <c r="M1788" i="1"/>
  <c r="O1787" i="1"/>
  <c r="O1787" i="1" a="1"/>
  <c r="N1787" i="1"/>
  <c r="M1787" i="1"/>
  <c r="O1786" i="1"/>
  <c r="O1786" i="1" a="1"/>
  <c r="N1786" i="1"/>
  <c r="M1786" i="1"/>
  <c r="O1785" i="1"/>
  <c r="O1785" i="1" a="1"/>
  <c r="N1785" i="1"/>
  <c r="M1785" i="1"/>
  <c r="O1784" i="1"/>
  <c r="O1784" i="1" a="1"/>
  <c r="N1784" i="1"/>
  <c r="M1784" i="1"/>
  <c r="O1783" i="1"/>
  <c r="O1783" i="1" a="1"/>
  <c r="N1783" i="1"/>
  <c r="M1783" i="1"/>
  <c r="O1782" i="1"/>
  <c r="O1782" i="1" a="1"/>
  <c r="N1782" i="1"/>
  <c r="M1782" i="1"/>
  <c r="O1781" i="1"/>
  <c r="O1781" i="1" a="1"/>
  <c r="N1781" i="1"/>
  <c r="M1781" i="1"/>
  <c r="O1780" i="1"/>
  <c r="O1780" i="1" a="1"/>
  <c r="N1780" i="1"/>
  <c r="M1780" i="1"/>
  <c r="O1779" i="1"/>
  <c r="O1779" i="1" a="1"/>
  <c r="N1779" i="1"/>
  <c r="M1779" i="1"/>
  <c r="O1778" i="1"/>
  <c r="O1778" i="1" a="1"/>
  <c r="N1778" i="1"/>
  <c r="M1778" i="1"/>
  <c r="O1777" i="1"/>
  <c r="O1777" i="1" a="1"/>
  <c r="N1777" i="1"/>
  <c r="M1777" i="1"/>
  <c r="O1776" i="1"/>
  <c r="O1776" i="1" a="1"/>
  <c r="N1776" i="1"/>
  <c r="M1776" i="1"/>
  <c r="O1775" i="1"/>
  <c r="O1775" i="1" a="1"/>
  <c r="N1775" i="1"/>
  <c r="M1775" i="1"/>
  <c r="O1774" i="1"/>
  <c r="O1774" i="1" a="1"/>
  <c r="N1774" i="1"/>
  <c r="M1774" i="1"/>
  <c r="O1773" i="1"/>
  <c r="O1773" i="1" a="1"/>
  <c r="N1773" i="1"/>
  <c r="M1773" i="1"/>
  <c r="O1772" i="1"/>
  <c r="O1772" i="1" a="1"/>
  <c r="N1772" i="1"/>
  <c r="M1772" i="1"/>
  <c r="O1771" i="1"/>
  <c r="O1771" i="1" a="1"/>
  <c r="N1771" i="1"/>
  <c r="M1771" i="1"/>
  <c r="O1770" i="1"/>
  <c r="O1770" i="1" a="1"/>
  <c r="N1770" i="1"/>
  <c r="M1770" i="1"/>
  <c r="O1769" i="1"/>
  <c r="O1769" i="1" a="1"/>
  <c r="N1769" i="1"/>
  <c r="M1769" i="1"/>
  <c r="O1768" i="1"/>
  <c r="O1768" i="1" a="1"/>
  <c r="N1768" i="1"/>
  <c r="M1768" i="1"/>
  <c r="O1767" i="1"/>
  <c r="O1767" i="1" a="1"/>
  <c r="N1767" i="1"/>
  <c r="M1767" i="1"/>
  <c r="O1766" i="1"/>
  <c r="O1766" i="1" a="1"/>
  <c r="N1766" i="1"/>
  <c r="M1766" i="1"/>
  <c r="O1765" i="1"/>
  <c r="O1765" i="1" a="1"/>
  <c r="N1765" i="1"/>
  <c r="M1765" i="1"/>
  <c r="O1764" i="1"/>
  <c r="O1764" i="1" a="1"/>
  <c r="N1764" i="1"/>
  <c r="M1764" i="1"/>
  <c r="O1763" i="1"/>
  <c r="O1763" i="1" a="1"/>
  <c r="N1763" i="1"/>
  <c r="M1763" i="1"/>
  <c r="O1762" i="1"/>
  <c r="O1762" i="1" a="1"/>
  <c r="N1762" i="1"/>
  <c r="M1762" i="1"/>
  <c r="O1761" i="1"/>
  <c r="O1761" i="1" a="1"/>
  <c r="N1761" i="1"/>
  <c r="M1761" i="1"/>
  <c r="O1760" i="1"/>
  <c r="O1760" i="1" a="1"/>
  <c r="N1760" i="1"/>
  <c r="M1760" i="1"/>
  <c r="O1759" i="1"/>
  <c r="O1759" i="1" a="1"/>
  <c r="N1759" i="1"/>
  <c r="M1759" i="1"/>
  <c r="O1758" i="1"/>
  <c r="O1758" i="1" a="1"/>
  <c r="N1758" i="1"/>
  <c r="M1758" i="1"/>
  <c r="O1757" i="1"/>
  <c r="O1757" i="1" a="1"/>
  <c r="N1757" i="1"/>
  <c r="M1757" i="1"/>
  <c r="O1756" i="1"/>
  <c r="O1756" i="1" a="1"/>
  <c r="N1756" i="1"/>
  <c r="M1756" i="1"/>
  <c r="O1755" i="1"/>
  <c r="O1755" i="1" a="1"/>
  <c r="N1755" i="1"/>
  <c r="M1755" i="1"/>
  <c r="O1754" i="1"/>
  <c r="O1754" i="1" a="1"/>
  <c r="N1754" i="1"/>
  <c r="M1754" i="1"/>
  <c r="O1753" i="1"/>
  <c r="O1753" i="1" a="1"/>
  <c r="N1753" i="1"/>
  <c r="M1753" i="1"/>
  <c r="O1752" i="1"/>
  <c r="O1752" i="1" a="1"/>
  <c r="N1752" i="1"/>
  <c r="M1752" i="1"/>
  <c r="O1751" i="1"/>
  <c r="O1751" i="1" a="1"/>
  <c r="N1751" i="1"/>
  <c r="M1751" i="1"/>
  <c r="O1750" i="1"/>
  <c r="O1750" i="1" a="1"/>
  <c r="N1750" i="1"/>
  <c r="M1750" i="1"/>
  <c r="O1749" i="1"/>
  <c r="O1749" i="1" a="1"/>
  <c r="N1749" i="1"/>
  <c r="M1749" i="1"/>
  <c r="O1748" i="1"/>
  <c r="O1748" i="1" a="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c r="O1742" i="1" a="1"/>
  <c r="N1742" i="1"/>
  <c r="M1742" i="1"/>
  <c r="O1741" i="1"/>
  <c r="O1741" i="1" a="1"/>
  <c r="N1741" i="1"/>
  <c r="M1741" i="1"/>
  <c r="O1740" i="1"/>
  <c r="O1740" i="1" a="1"/>
  <c r="N1740" i="1"/>
  <c r="M1740" i="1"/>
  <c r="O1739" i="1"/>
  <c r="O1739" i="1" a="1"/>
  <c r="N1739" i="1"/>
  <c r="M1739" i="1"/>
  <c r="O1738" i="1"/>
  <c r="O1738" i="1" a="1"/>
  <c r="N1738" i="1"/>
  <c r="M1738" i="1"/>
  <c r="O1737" i="1"/>
  <c r="O1737" i="1" a="1"/>
  <c r="N1737" i="1"/>
  <c r="M1737" i="1"/>
  <c r="O1736" i="1"/>
  <c r="O1736" i="1" a="1"/>
  <c r="N1736" i="1"/>
  <c r="M1736" i="1"/>
  <c r="O1735" i="1"/>
  <c r="O1735" i="1" a="1"/>
  <c r="N1735" i="1"/>
  <c r="M1735" i="1"/>
  <c r="O1734" i="1"/>
  <c r="O1734" i="1" a="1"/>
  <c r="N1734" i="1"/>
  <c r="M1734" i="1"/>
  <c r="O1733" i="1"/>
  <c r="O1733" i="1" a="1"/>
  <c r="N1733" i="1"/>
  <c r="M1733" i="1"/>
  <c r="O1732" i="1"/>
  <c r="O1732" i="1" a="1"/>
  <c r="N1732" i="1"/>
  <c r="M1732" i="1"/>
  <c r="O1731" i="1"/>
  <c r="O1731" i="1" a="1"/>
  <c r="N1731" i="1"/>
  <c r="M1731" i="1"/>
  <c r="O1730" i="1"/>
  <c r="O1730" i="1" a="1"/>
  <c r="N1730" i="1"/>
  <c r="M1730" i="1"/>
  <c r="O1729" i="1"/>
  <c r="O1729" i="1" a="1"/>
  <c r="N1729" i="1"/>
  <c r="M1729" i="1"/>
  <c r="O1728" i="1"/>
  <c r="O1728" i="1" a="1"/>
  <c r="N1728" i="1"/>
  <c r="M1728" i="1"/>
  <c r="O1727" i="1"/>
  <c r="O1727" i="1" a="1"/>
  <c r="N1727" i="1"/>
  <c r="M1727" i="1"/>
  <c r="O1726" i="1"/>
  <c r="O1726" i="1" a="1"/>
  <c r="N1726" i="1"/>
  <c r="M1726" i="1"/>
  <c r="O1725" i="1"/>
  <c r="O1725" i="1" a="1"/>
  <c r="N1725" i="1"/>
  <c r="M1725" i="1"/>
  <c r="O1724" i="1"/>
  <c r="O1724" i="1" a="1"/>
  <c r="N1724" i="1"/>
  <c r="M1724" i="1"/>
  <c r="O1723" i="1"/>
  <c r="O1723" i="1" a="1"/>
  <c r="N1723" i="1"/>
  <c r="M1723" i="1"/>
  <c r="O1722" i="1"/>
  <c r="O1722" i="1" a="1"/>
  <c r="N1722" i="1"/>
  <c r="M1722" i="1"/>
  <c r="O1721" i="1"/>
  <c r="O1721" i="1" a="1"/>
  <c r="N1721" i="1"/>
  <c r="M1721" i="1"/>
  <c r="O1720" i="1"/>
  <c r="O1720" i="1" a="1"/>
  <c r="N1720" i="1"/>
  <c r="M1720" i="1"/>
  <c r="O1719" i="1"/>
  <c r="O1719" i="1" a="1"/>
  <c r="N1719" i="1"/>
  <c r="M1719" i="1"/>
  <c r="O1718" i="1"/>
  <c r="O1718" i="1" a="1"/>
  <c r="N1718" i="1"/>
  <c r="M1718" i="1"/>
  <c r="O1717" i="1"/>
  <c r="O1717" i="1" a="1"/>
  <c r="N1717" i="1"/>
  <c r="M1717" i="1"/>
  <c r="O1716" i="1"/>
  <c r="O1716" i="1" a="1"/>
  <c r="N1716" i="1"/>
  <c r="M1716" i="1"/>
  <c r="O1715" i="1"/>
  <c r="O1715" i="1" a="1"/>
  <c r="N1715" i="1"/>
  <c r="M1715" i="1"/>
  <c r="O1714" i="1"/>
  <c r="O1714" i="1" a="1"/>
  <c r="N1714" i="1"/>
  <c r="M1714" i="1"/>
  <c r="O1713" i="1"/>
  <c r="O1713" i="1" a="1"/>
  <c r="N1713" i="1"/>
  <c r="M1713" i="1"/>
  <c r="O1712" i="1"/>
  <c r="O1712" i="1" a="1"/>
  <c r="N1712" i="1"/>
  <c r="M1712" i="1"/>
  <c r="O1711" i="1"/>
  <c r="O1711" i="1" a="1"/>
  <c r="N1711" i="1"/>
  <c r="M1711" i="1"/>
  <c r="O1710" i="1"/>
  <c r="O1710" i="1" a="1"/>
  <c r="N1710" i="1"/>
  <c r="M1710" i="1"/>
  <c r="O1709" i="1"/>
  <c r="O1709" i="1" a="1"/>
  <c r="N1709" i="1"/>
  <c r="M1709" i="1"/>
  <c r="O1708" i="1"/>
  <c r="O1708" i="1" a="1"/>
  <c r="N1708" i="1"/>
  <c r="M1708" i="1"/>
  <c r="O1707" i="1"/>
  <c r="O1707" i="1" a="1"/>
  <c r="N1707" i="1"/>
  <c r="M1707" i="1"/>
  <c r="O1706" i="1"/>
  <c r="O1706" i="1" a="1"/>
  <c r="N1706" i="1"/>
  <c r="M1706" i="1"/>
  <c r="O1705" i="1"/>
  <c r="O1705" i="1" a="1"/>
  <c r="N1705" i="1"/>
  <c r="M1705" i="1"/>
  <c r="O1704" i="1"/>
  <c r="O1704" i="1" a="1"/>
  <c r="N1704" i="1"/>
  <c r="M1704" i="1"/>
  <c r="O1703" i="1"/>
  <c r="O1703" i="1" a="1"/>
  <c r="N1703" i="1"/>
  <c r="M1703" i="1"/>
  <c r="O1702" i="1"/>
  <c r="O1702" i="1" a="1"/>
  <c r="N1702" i="1"/>
  <c r="M1702" i="1"/>
  <c r="O1701" i="1"/>
  <c r="O1701" i="1" a="1"/>
  <c r="N1701" i="1"/>
  <c r="M1701" i="1"/>
  <c r="O1700" i="1"/>
  <c r="O1700" i="1" a="1"/>
  <c r="N1700" i="1"/>
  <c r="M1700" i="1"/>
  <c r="O1699" i="1"/>
  <c r="O1699" i="1" a="1"/>
  <c r="N1699" i="1"/>
  <c r="M1699" i="1"/>
  <c r="O1698" i="1"/>
  <c r="O1698" i="1" a="1"/>
  <c r="N1698" i="1"/>
  <c r="M1698" i="1"/>
  <c r="O1697" i="1"/>
  <c r="O1697" i="1" a="1"/>
  <c r="N1697" i="1"/>
  <c r="M1697" i="1"/>
  <c r="O1696" i="1"/>
  <c r="O1696" i="1" a="1"/>
  <c r="N1696" i="1"/>
  <c r="M1696" i="1"/>
  <c r="O1695" i="1"/>
  <c r="O1695" i="1" a="1"/>
  <c r="N1695" i="1"/>
  <c r="M1695" i="1"/>
  <c r="O1694" i="1"/>
  <c r="O1694" i="1" a="1"/>
  <c r="N1694" i="1"/>
  <c r="M1694" i="1"/>
  <c r="O1693" i="1"/>
  <c r="O1693" i="1" a="1"/>
  <c r="N1693" i="1"/>
  <c r="M1693" i="1"/>
  <c r="O1692" i="1"/>
  <c r="O1692" i="1" a="1"/>
  <c r="N1692" i="1"/>
  <c r="M1692" i="1"/>
  <c r="O1691" i="1"/>
  <c r="O1691" i="1" a="1"/>
  <c r="N1691" i="1"/>
  <c r="M1691" i="1"/>
  <c r="O1690" i="1"/>
  <c r="O1690" i="1" a="1"/>
  <c r="N1690" i="1"/>
  <c r="M1690" i="1"/>
  <c r="O1689" i="1"/>
  <c r="O1689" i="1" a="1"/>
  <c r="N1689" i="1"/>
  <c r="M1689" i="1"/>
  <c r="O1688" i="1"/>
  <c r="O1688" i="1" a="1"/>
  <c r="N1688" i="1"/>
  <c r="M1688" i="1"/>
  <c r="O1687" i="1"/>
  <c r="O1687" i="1" a="1"/>
  <c r="N1687" i="1"/>
  <c r="M1687" i="1"/>
  <c r="O1686" i="1"/>
  <c r="O1686" i="1" a="1"/>
  <c r="N1686" i="1"/>
  <c r="M1686" i="1"/>
  <c r="O1685" i="1"/>
  <c r="O1685" i="1" a="1"/>
  <c r="N1685" i="1"/>
  <c r="M1685" i="1"/>
  <c r="O1684" i="1"/>
  <c r="O1684" i="1" a="1"/>
  <c r="N1684" i="1"/>
  <c r="M1684" i="1"/>
  <c r="O1683" i="1"/>
  <c r="O1683" i="1" a="1"/>
  <c r="N1683" i="1"/>
  <c r="M1683" i="1"/>
  <c r="O1682" i="1"/>
  <c r="O1682" i="1" a="1"/>
  <c r="N1682" i="1"/>
  <c r="M1682" i="1"/>
  <c r="O1681" i="1"/>
  <c r="O1681" i="1" a="1"/>
  <c r="N1681" i="1"/>
  <c r="M1681" i="1"/>
  <c r="O1680" i="1"/>
  <c r="O1680" i="1" a="1"/>
  <c r="N1680" i="1"/>
  <c r="M1680" i="1"/>
  <c r="O1679" i="1"/>
  <c r="O1679" i="1" a="1"/>
  <c r="N1679" i="1"/>
  <c r="M1679" i="1"/>
  <c r="O1678" i="1"/>
  <c r="O1678" i="1" a="1"/>
  <c r="N1678" i="1"/>
  <c r="M1678" i="1"/>
  <c r="O1677" i="1"/>
  <c r="O1677" i="1" a="1"/>
  <c r="N1677" i="1"/>
  <c r="M1677" i="1"/>
  <c r="O1676" i="1"/>
  <c r="O1676" i="1" a="1"/>
  <c r="N1676" i="1"/>
  <c r="M1676" i="1"/>
  <c r="O1675" i="1"/>
  <c r="O1675" i="1" a="1"/>
  <c r="N1675" i="1"/>
  <c r="M1675" i="1"/>
  <c r="O1674" i="1"/>
  <c r="O1674" i="1" a="1"/>
  <c r="N1674" i="1"/>
  <c r="M1674" i="1"/>
  <c r="O1673" i="1"/>
  <c r="O1673" i="1" a="1"/>
  <c r="N1673" i="1"/>
  <c r="M1673" i="1"/>
  <c r="O1672" i="1"/>
  <c r="O1672" i="1" a="1"/>
  <c r="N1672" i="1"/>
  <c r="M1672" i="1"/>
  <c r="O1671" i="1"/>
  <c r="O1671" i="1" a="1"/>
  <c r="N1671" i="1"/>
  <c r="M1671" i="1"/>
  <c r="O1670" i="1"/>
  <c r="O1670" i="1" a="1"/>
  <c r="N1670" i="1"/>
  <c r="M1670" i="1"/>
  <c r="O1669" i="1"/>
  <c r="O1669" i="1" a="1"/>
  <c r="N1669" i="1"/>
  <c r="M1669" i="1"/>
  <c r="O1668" i="1"/>
  <c r="O1668" i="1" a="1"/>
  <c r="N1668" i="1"/>
  <c r="M1668" i="1"/>
  <c r="O1667" i="1"/>
  <c r="O1667" i="1" a="1"/>
  <c r="N1667" i="1"/>
  <c r="M1667" i="1"/>
  <c r="O1666" i="1"/>
  <c r="O1666" i="1" a="1"/>
  <c r="N1666" i="1"/>
  <c r="M1666" i="1"/>
  <c r="O1665" i="1"/>
  <c r="O1665" i="1" a="1"/>
  <c r="N1665" i="1"/>
  <c r="M1665" i="1"/>
  <c r="O1664" i="1"/>
  <c r="O1664" i="1" a="1"/>
  <c r="N1664" i="1"/>
  <c r="M1664" i="1"/>
  <c r="O1663" i="1"/>
  <c r="O1663" i="1" a="1"/>
  <c r="N1663" i="1"/>
  <c r="M1663" i="1"/>
  <c r="O1662" i="1"/>
  <c r="O1662" i="1" a="1"/>
  <c r="N1662" i="1"/>
  <c r="M1662" i="1"/>
  <c r="O1661" i="1"/>
  <c r="O1661" i="1" a="1"/>
  <c r="N1661" i="1"/>
  <c r="M1661" i="1"/>
  <c r="O1660" i="1"/>
  <c r="O1660" i="1" a="1"/>
  <c r="N1660" i="1"/>
  <c r="M1660" i="1"/>
  <c r="O1659" i="1"/>
  <c r="O1659" i="1" a="1"/>
  <c r="N1659" i="1"/>
  <c r="M1659" i="1"/>
  <c r="O1658" i="1"/>
  <c r="O1658" i="1" a="1"/>
  <c r="N1658" i="1"/>
  <c r="M1658" i="1"/>
  <c r="O1657" i="1"/>
  <c r="O1657" i="1" a="1"/>
  <c r="N1657" i="1"/>
  <c r="M1657" i="1"/>
  <c r="O1656" i="1"/>
  <c r="O1656" i="1" a="1"/>
  <c r="N1656" i="1"/>
  <c r="M1656" i="1"/>
  <c r="O1655" i="1"/>
  <c r="O1655" i="1" a="1"/>
  <c r="N1655" i="1"/>
  <c r="M1655" i="1"/>
  <c r="O1654" i="1"/>
  <c r="O1654" i="1" a="1"/>
  <c r="N1654" i="1"/>
  <c r="M1654" i="1"/>
  <c r="O1653" i="1"/>
  <c r="O1653" i="1" a="1"/>
  <c r="N1653" i="1"/>
  <c r="M1653" i="1"/>
  <c r="O1652" i="1"/>
  <c r="O1652" i="1" a="1"/>
  <c r="N1652" i="1"/>
  <c r="M1652" i="1"/>
  <c r="O1651" i="1"/>
  <c r="O1651" i="1" a="1"/>
  <c r="N1651" i="1"/>
  <c r="M1651" i="1"/>
  <c r="O1650" i="1"/>
  <c r="O1650" i="1" a="1"/>
  <c r="N1650" i="1"/>
  <c r="M1650" i="1"/>
  <c r="O1649" i="1"/>
  <c r="O1649" i="1" a="1"/>
  <c r="N1649" i="1"/>
  <c r="M1649" i="1"/>
  <c r="O1648" i="1"/>
  <c r="O1648" i="1" a="1"/>
  <c r="N1648" i="1"/>
  <c r="M1648" i="1"/>
  <c r="O1647" i="1"/>
  <c r="O1647" i="1" a="1"/>
  <c r="N1647" i="1"/>
  <c r="M1647" i="1"/>
  <c r="O1646" i="1"/>
  <c r="O1646" i="1" a="1"/>
  <c r="N1646" i="1"/>
  <c r="M1646" i="1"/>
  <c r="O1645" i="1"/>
  <c r="O1645" i="1" a="1"/>
  <c r="N1645" i="1"/>
  <c r="M1645" i="1"/>
  <c r="O1644" i="1"/>
  <c r="O1644" i="1" a="1"/>
  <c r="N1644" i="1"/>
  <c r="M1644" i="1"/>
  <c r="O1643" i="1"/>
  <c r="O1643" i="1" a="1"/>
  <c r="N1643" i="1"/>
  <c r="M1643" i="1"/>
  <c r="O1642" i="1"/>
  <c r="O1642" i="1" a="1"/>
  <c r="N1642" i="1"/>
  <c r="M1642" i="1"/>
  <c r="O1641" i="1"/>
  <c r="O1641" i="1" a="1"/>
  <c r="N1641" i="1"/>
  <c r="M1641" i="1"/>
  <c r="O1640" i="1"/>
  <c r="O1640" i="1" a="1"/>
  <c r="N1640" i="1"/>
  <c r="M1640" i="1"/>
  <c r="O1639" i="1"/>
  <c r="O1639" i="1" a="1"/>
  <c r="N1639" i="1"/>
  <c r="M1639" i="1"/>
  <c r="O1638" i="1"/>
  <c r="O1638" i="1" a="1"/>
  <c r="N1638" i="1"/>
  <c r="M1638" i="1"/>
  <c r="O1637" i="1"/>
  <c r="O1637" i="1" a="1"/>
  <c r="N1637" i="1"/>
  <c r="M1637" i="1"/>
  <c r="O1636" i="1"/>
  <c r="O1636" i="1" a="1"/>
  <c r="N1636" i="1"/>
  <c r="M1636" i="1"/>
  <c r="O1635" i="1"/>
  <c r="O1635" i="1" a="1"/>
  <c r="N1635" i="1"/>
  <c r="M1635" i="1"/>
  <c r="O1634" i="1"/>
  <c r="O1634" i="1" a="1"/>
  <c r="N1634" i="1"/>
  <c r="M1634" i="1"/>
  <c r="O1633" i="1"/>
  <c r="O1633" i="1" a="1"/>
  <c r="N1633" i="1"/>
  <c r="M1633" i="1"/>
  <c r="O1632" i="1"/>
  <c r="O1632" i="1" a="1"/>
  <c r="N1632" i="1"/>
  <c r="M1632" i="1"/>
  <c r="O1631" i="1"/>
  <c r="O1631" i="1" a="1"/>
  <c r="N1631" i="1"/>
  <c r="M1631" i="1"/>
  <c r="O1630" i="1"/>
  <c r="O1630" i="1" a="1"/>
  <c r="N1630" i="1"/>
  <c r="M1630" i="1"/>
  <c r="O1629" i="1"/>
  <c r="O1629" i="1" a="1"/>
  <c r="N1629" i="1"/>
  <c r="M1629" i="1"/>
  <c r="O1628" i="1"/>
  <c r="O1628" i="1" a="1"/>
  <c r="N1628" i="1"/>
  <c r="M1628" i="1"/>
  <c r="O1627" i="1"/>
  <c r="O1627" i="1" a="1"/>
  <c r="N1627" i="1"/>
  <c r="M1627" i="1"/>
  <c r="O1626" i="1"/>
  <c r="O1626" i="1" a="1"/>
  <c r="N1626" i="1"/>
  <c r="M1626" i="1"/>
  <c r="O1625" i="1"/>
  <c r="O1625" i="1" a="1"/>
  <c r="N1625" i="1"/>
  <c r="M1625" i="1"/>
  <c r="O1624" i="1"/>
  <c r="O1624" i="1" a="1"/>
  <c r="N1624" i="1"/>
  <c r="M1624" i="1"/>
  <c r="O1623" i="1"/>
  <c r="O1623" i="1" a="1"/>
  <c r="N1623" i="1"/>
  <c r="M1623" i="1"/>
  <c r="O1622" i="1"/>
  <c r="O1622" i="1" a="1"/>
  <c r="N1622" i="1"/>
  <c r="M1622" i="1"/>
  <c r="O1621" i="1"/>
  <c r="O1621" i="1" a="1"/>
  <c r="N1621" i="1"/>
  <c r="M1621" i="1"/>
  <c r="O1620" i="1"/>
  <c r="O1620" i="1" a="1"/>
  <c r="N1620" i="1"/>
  <c r="M1620" i="1"/>
  <c r="O1619" i="1"/>
  <c r="O1619" i="1" a="1"/>
  <c r="N1619" i="1"/>
  <c r="M1619" i="1"/>
  <c r="O1618" i="1"/>
  <c r="O1618" i="1" a="1"/>
  <c r="N1618" i="1"/>
  <c r="M1618" i="1"/>
  <c r="O1617" i="1"/>
  <c r="O1617" i="1" a="1"/>
  <c r="N1617" i="1"/>
  <c r="M1617" i="1"/>
  <c r="O1616" i="1"/>
  <c r="O1616" i="1" a="1"/>
  <c r="N1616" i="1"/>
  <c r="M1616" i="1"/>
  <c r="O1615" i="1"/>
  <c r="O1615" i="1" a="1"/>
  <c r="N1615" i="1"/>
  <c r="M1615" i="1"/>
  <c r="O1614" i="1"/>
  <c r="O1614" i="1" a="1"/>
  <c r="N1614" i="1"/>
  <c r="M1614" i="1"/>
  <c r="O1613" i="1"/>
  <c r="O1613" i="1" a="1"/>
  <c r="N1613" i="1"/>
  <c r="M1613" i="1"/>
  <c r="O1612" i="1"/>
  <c r="O1612" i="1" a="1"/>
  <c r="N1612" i="1"/>
  <c r="M1612" i="1"/>
  <c r="O1611" i="1"/>
  <c r="O1611" i="1" a="1"/>
  <c r="N1611" i="1"/>
  <c r="M1611" i="1"/>
  <c r="O1610" i="1"/>
  <c r="O1610" i="1" a="1"/>
  <c r="N1610" i="1"/>
  <c r="M1610" i="1"/>
  <c r="O1609" i="1"/>
  <c r="O1609" i="1" a="1"/>
  <c r="N1609" i="1"/>
  <c r="M1609" i="1"/>
  <c r="O1608" i="1"/>
  <c r="O1608" i="1" a="1"/>
  <c r="N1608" i="1"/>
  <c r="M1608" i="1"/>
  <c r="O1607" i="1"/>
  <c r="O1607" i="1" a="1"/>
  <c r="N1607" i="1"/>
  <c r="M1607" i="1"/>
  <c r="O1606" i="1"/>
  <c r="O1606" i="1" a="1"/>
  <c r="N1606" i="1"/>
  <c r="M1606" i="1"/>
  <c r="O1605" i="1"/>
  <c r="O1605" i="1" a="1"/>
  <c r="N1605" i="1"/>
  <c r="M1605" i="1"/>
  <c r="O1604" i="1"/>
  <c r="O1604" i="1" a="1"/>
  <c r="N1604" i="1"/>
  <c r="M1604" i="1"/>
  <c r="O1603" i="1"/>
  <c r="O1603" i="1" a="1"/>
  <c r="N1603" i="1"/>
  <c r="M1603" i="1"/>
  <c r="O1602" i="1"/>
  <c r="O1602" i="1" a="1"/>
  <c r="N1602" i="1"/>
  <c r="M1602" i="1"/>
  <c r="O1601" i="1"/>
  <c r="O1601" i="1" a="1"/>
  <c r="N1601" i="1"/>
  <c r="M1601" i="1"/>
  <c r="O1600" i="1"/>
  <c r="O1600" i="1" a="1"/>
  <c r="N1600" i="1"/>
  <c r="M1600" i="1"/>
  <c r="O1599" i="1"/>
  <c r="O1599" i="1" a="1"/>
  <c r="N1599" i="1"/>
  <c r="M1599" i="1"/>
  <c r="O1598" i="1"/>
  <c r="O1598" i="1" a="1"/>
  <c r="N1598" i="1"/>
  <c r="M1598" i="1"/>
  <c r="O1597" i="1"/>
  <c r="O1597" i="1" a="1"/>
  <c r="N1597" i="1"/>
  <c r="M1597" i="1"/>
  <c r="O1596" i="1"/>
  <c r="O1596" i="1" a="1"/>
  <c r="N1596" i="1"/>
  <c r="M1596" i="1"/>
  <c r="O1595" i="1"/>
  <c r="O1595" i="1" a="1"/>
  <c r="N1595" i="1"/>
  <c r="M1595" i="1"/>
  <c r="O1594" i="1"/>
  <c r="O1594" i="1" a="1"/>
  <c r="N1594" i="1"/>
  <c r="M1594" i="1"/>
  <c r="O1593" i="1"/>
  <c r="O1593" i="1" a="1"/>
  <c r="N1593" i="1"/>
  <c r="M1593" i="1"/>
  <c r="O1592" i="1"/>
  <c r="O1592" i="1" a="1"/>
  <c r="N1592" i="1"/>
  <c r="M1592" i="1"/>
  <c r="O1591" i="1"/>
  <c r="O1591" i="1" a="1"/>
  <c r="N1591" i="1"/>
  <c r="M1591" i="1"/>
  <c r="O1590" i="1"/>
  <c r="O1590" i="1" a="1"/>
  <c r="N1590" i="1"/>
  <c r="M1590" i="1"/>
  <c r="O1589" i="1"/>
  <c r="O1589" i="1" a="1"/>
  <c r="N1589" i="1"/>
  <c r="M1589" i="1"/>
  <c r="O1588" i="1"/>
  <c r="O1588" i="1" a="1"/>
  <c r="N1588" i="1"/>
  <c r="M1588" i="1"/>
  <c r="O1587" i="1"/>
  <c r="O1587" i="1" a="1"/>
  <c r="N1587" i="1"/>
  <c r="M1587" i="1"/>
  <c r="O1586" i="1"/>
  <c r="O1586" i="1" a="1"/>
  <c r="N1586" i="1"/>
  <c r="M1586" i="1"/>
  <c r="O1585" i="1"/>
  <c r="O1585" i="1" a="1"/>
  <c r="N1585" i="1"/>
  <c r="M1585" i="1"/>
  <c r="O1584" i="1"/>
  <c r="O1584" i="1" a="1"/>
  <c r="N1584" i="1"/>
  <c r="M1584" i="1"/>
  <c r="O1583" i="1"/>
  <c r="O1583" i="1" a="1"/>
  <c r="N1583" i="1"/>
  <c r="M1583" i="1"/>
  <c r="O1582" i="1"/>
  <c r="O1582" i="1" a="1"/>
  <c r="N1582" i="1"/>
  <c r="M1582" i="1"/>
  <c r="O1581" i="1"/>
  <c r="O1581" i="1" a="1"/>
  <c r="N1581" i="1"/>
  <c r="M1581" i="1"/>
  <c r="O1580" i="1"/>
  <c r="O1580" i="1" a="1"/>
  <c r="N1580" i="1"/>
  <c r="M1580" i="1"/>
  <c r="O1579" i="1"/>
  <c r="O1579" i="1" a="1"/>
  <c r="N1579" i="1"/>
  <c r="M1579" i="1"/>
  <c r="O1578" i="1"/>
  <c r="O1578" i="1" a="1"/>
  <c r="N1578" i="1"/>
  <c r="M1578" i="1"/>
  <c r="O1577" i="1"/>
  <c r="O1577" i="1" a="1"/>
  <c r="N1577" i="1"/>
  <c r="M1577" i="1"/>
  <c r="O1576" i="1"/>
  <c r="O1576" i="1" a="1"/>
  <c r="N1576" i="1"/>
  <c r="M1576" i="1"/>
  <c r="O1575" i="1"/>
  <c r="O1575" i="1" a="1"/>
  <c r="N1575" i="1"/>
  <c r="M1575" i="1"/>
  <c r="O1574" i="1"/>
  <c r="O1574" i="1" a="1"/>
  <c r="N1574" i="1"/>
  <c r="M1574" i="1"/>
  <c r="O1573" i="1"/>
  <c r="O1573" i="1" a="1"/>
  <c r="N1573" i="1"/>
  <c r="M1573" i="1"/>
  <c r="O1572" i="1"/>
  <c r="O1572" i="1" a="1"/>
  <c r="N1572" i="1"/>
  <c r="M1572" i="1"/>
  <c r="O1571" i="1"/>
  <c r="O1571" i="1" a="1"/>
  <c r="N1571" i="1"/>
  <c r="M1571" i="1"/>
  <c r="O1570" i="1"/>
  <c r="O1570" i="1" a="1"/>
  <c r="N1570" i="1"/>
  <c r="M1570" i="1"/>
  <c r="O1569" i="1"/>
  <c r="O1569" i="1" a="1"/>
  <c r="N1569" i="1"/>
  <c r="M1569" i="1"/>
  <c r="O1568" i="1"/>
  <c r="O1568" i="1" a="1"/>
  <c r="N1568" i="1"/>
  <c r="M1568" i="1"/>
  <c r="O1567" i="1"/>
  <c r="O1567" i="1" a="1"/>
  <c r="N1567" i="1"/>
  <c r="M1567" i="1"/>
  <c r="O1566" i="1"/>
  <c r="O1566" i="1" a="1"/>
  <c r="N1566" i="1"/>
  <c r="M1566" i="1"/>
  <c r="O1565" i="1"/>
  <c r="O1565" i="1" a="1"/>
  <c r="N1565" i="1"/>
  <c r="M1565" i="1"/>
  <c r="O1564" i="1"/>
  <c r="O1564" i="1" a="1"/>
  <c r="N1564" i="1"/>
  <c r="M1564" i="1"/>
  <c r="O1563" i="1"/>
  <c r="O1563" i="1" a="1"/>
  <c r="N1563" i="1"/>
  <c r="M1563" i="1"/>
  <c r="O1562" i="1"/>
  <c r="O1562" i="1" a="1"/>
  <c r="N1562" i="1"/>
  <c r="M1562" i="1"/>
  <c r="O1561" i="1"/>
  <c r="O1561" i="1" a="1"/>
  <c r="N1561" i="1"/>
  <c r="M1561" i="1"/>
  <c r="O1560" i="1"/>
  <c r="O1560" i="1" a="1"/>
  <c r="N1560" i="1"/>
  <c r="M1560" i="1"/>
  <c r="O1559" i="1"/>
  <c r="O1559" i="1" a="1"/>
  <c r="N1559" i="1"/>
  <c r="M1559" i="1"/>
  <c r="O1558" i="1"/>
  <c r="O1558" i="1" a="1"/>
  <c r="N1558" i="1"/>
  <c r="M1558" i="1"/>
  <c r="O1557" i="1"/>
  <c r="O1557" i="1" a="1"/>
  <c r="N1557" i="1"/>
  <c r="M1557" i="1"/>
  <c r="O1556" i="1"/>
  <c r="O1556" i="1" a="1"/>
  <c r="N1556" i="1"/>
  <c r="M1556" i="1"/>
  <c r="O1555" i="1"/>
  <c r="O1555" i="1" a="1"/>
  <c r="N1555" i="1"/>
  <c r="M1555" i="1"/>
  <c r="O1554" i="1"/>
  <c r="O1554" i="1" a="1"/>
  <c r="N1554" i="1"/>
  <c r="M1554" i="1"/>
  <c r="O1553" i="1"/>
  <c r="O1553" i="1" a="1"/>
  <c r="N1553" i="1"/>
  <c r="M1553" i="1"/>
  <c r="O1552" i="1"/>
  <c r="O1552" i="1" a="1"/>
  <c r="N1552" i="1"/>
  <c r="M1552" i="1"/>
  <c r="O1551" i="1"/>
  <c r="O1551" i="1" a="1"/>
  <c r="N1551" i="1"/>
  <c r="M1551" i="1"/>
  <c r="O1550" i="1"/>
  <c r="O1550" i="1" a="1"/>
  <c r="N1550" i="1"/>
  <c r="M1550" i="1"/>
  <c r="O1549" i="1"/>
  <c r="O1549" i="1" a="1"/>
  <c r="N1549" i="1"/>
  <c r="M1549" i="1"/>
  <c r="O1548" i="1"/>
  <c r="O1548" i="1" a="1"/>
  <c r="N1548" i="1"/>
  <c r="M1548" i="1"/>
  <c r="O1547" i="1"/>
  <c r="O1547" i="1" a="1"/>
  <c r="N1547" i="1"/>
  <c r="M1547" i="1"/>
  <c r="O1546" i="1"/>
  <c r="O1546" i="1" a="1"/>
  <c r="N1546" i="1"/>
  <c r="M1546" i="1"/>
  <c r="O1545" i="1"/>
  <c r="O1545" i="1" a="1"/>
  <c r="N1545" i="1"/>
  <c r="M1545" i="1"/>
  <c r="O1544" i="1"/>
  <c r="O1544" i="1" a="1"/>
  <c r="N1544" i="1"/>
  <c r="M1544" i="1"/>
  <c r="O1543" i="1"/>
  <c r="O1543" i="1" a="1"/>
  <c r="N1543" i="1"/>
  <c r="M1543" i="1"/>
  <c r="O1542" i="1"/>
  <c r="O1542" i="1" a="1"/>
  <c r="N1542" i="1"/>
  <c r="M1542" i="1"/>
  <c r="O1541" i="1"/>
  <c r="O1541" i="1" a="1"/>
  <c r="N1541" i="1"/>
  <c r="M1541" i="1"/>
  <c r="O1540" i="1"/>
  <c r="O1540" i="1" a="1"/>
  <c r="N1540" i="1"/>
  <c r="M1540" i="1"/>
  <c r="O1539" i="1"/>
  <c r="O1539" i="1" a="1"/>
  <c r="N1539" i="1"/>
  <c r="M1539" i="1"/>
  <c r="O1538" i="1"/>
  <c r="O1538" i="1" a="1"/>
  <c r="N1538" i="1"/>
  <c r="M1538" i="1"/>
  <c r="O1537" i="1"/>
  <c r="O1537" i="1" a="1"/>
  <c r="N1537" i="1"/>
  <c r="M1537" i="1"/>
  <c r="O1536" i="1"/>
  <c r="O1536" i="1" a="1"/>
  <c r="N1536" i="1"/>
  <c r="M1536" i="1"/>
  <c r="O1535" i="1"/>
  <c r="O1535" i="1" a="1"/>
  <c r="N1535" i="1"/>
  <c r="M1535" i="1"/>
  <c r="O1534" i="1"/>
  <c r="O1534" i="1" a="1"/>
  <c r="N1534" i="1"/>
  <c r="M1534" i="1"/>
  <c r="O1533" i="1"/>
  <c r="O1533" i="1" a="1"/>
  <c r="N1533" i="1"/>
  <c r="M1533" i="1"/>
  <c r="O1532" i="1"/>
  <c r="O1532" i="1" a="1"/>
  <c r="N1532" i="1"/>
  <c r="M1532" i="1"/>
  <c r="O1531" i="1"/>
  <c r="O1531" i="1" a="1"/>
  <c r="N1531" i="1"/>
  <c r="M1531" i="1"/>
  <c r="O1530" i="1"/>
  <c r="O1530" i="1" a="1"/>
  <c r="N1530" i="1"/>
  <c r="M1530" i="1"/>
  <c r="O1529" i="1"/>
  <c r="O1529" i="1" a="1"/>
  <c r="N1529" i="1"/>
  <c r="M1529" i="1"/>
  <c r="O1528" i="1"/>
  <c r="O1528" i="1" a="1"/>
  <c r="N1528" i="1"/>
  <c r="M1528" i="1"/>
  <c r="O1527" i="1"/>
  <c r="O1527" i="1" a="1"/>
  <c r="N1527" i="1"/>
  <c r="M1527" i="1"/>
  <c r="O1526" i="1"/>
  <c r="O1526" i="1" a="1"/>
  <c r="N1526" i="1"/>
  <c r="M1526" i="1"/>
  <c r="O1525" i="1"/>
  <c r="O1525" i="1" a="1"/>
  <c r="N1525" i="1"/>
  <c r="M1525" i="1"/>
  <c r="O1524" i="1"/>
  <c r="O1524" i="1" a="1"/>
  <c r="N1524" i="1"/>
  <c r="M1524" i="1"/>
  <c r="O1523" i="1"/>
  <c r="O1523" i="1" a="1"/>
  <c r="N1523" i="1"/>
  <c r="M1523" i="1"/>
  <c r="O1522" i="1"/>
  <c r="O1522" i="1" a="1"/>
  <c r="N1522" i="1"/>
  <c r="M1522" i="1"/>
  <c r="O1521" i="1"/>
  <c r="O1521" i="1" a="1"/>
  <c r="N1521" i="1"/>
  <c r="M1521" i="1"/>
  <c r="O1520" i="1"/>
  <c r="O1520" i="1" a="1"/>
  <c r="N1520" i="1"/>
  <c r="M1520" i="1"/>
  <c r="O1519" i="1"/>
  <c r="O1519" i="1" a="1"/>
  <c r="N1519" i="1"/>
  <c r="M1519" i="1"/>
  <c r="O1518" i="1"/>
  <c r="O1518" i="1" a="1"/>
  <c r="N1518" i="1"/>
  <c r="M1518" i="1"/>
  <c r="O1517" i="1"/>
  <c r="O1517" i="1" a="1"/>
  <c r="N1517" i="1"/>
  <c r="M1517" i="1"/>
  <c r="O1516" i="1"/>
  <c r="O1516" i="1" a="1"/>
  <c r="N1516" i="1"/>
  <c r="M1516" i="1"/>
  <c r="O1515" i="1"/>
  <c r="O1515" i="1" a="1"/>
  <c r="N1515" i="1"/>
  <c r="M1515" i="1"/>
  <c r="O1514" i="1"/>
  <c r="O1514" i="1" a="1"/>
  <c r="N1514" i="1"/>
  <c r="M1514" i="1"/>
  <c r="O1513" i="1"/>
  <c r="O1513" i="1" a="1"/>
  <c r="N1513" i="1"/>
  <c r="M1513" i="1"/>
  <c r="O1512" i="1"/>
  <c r="O1512" i="1" a="1"/>
  <c r="N1512" i="1"/>
  <c r="M1512" i="1"/>
  <c r="O1511" i="1"/>
  <c r="O1511" i="1" a="1"/>
  <c r="N1511" i="1"/>
  <c r="M1511" i="1"/>
  <c r="O1510" i="1"/>
  <c r="O1510" i="1" a="1"/>
  <c r="N1510" i="1"/>
  <c r="M1510" i="1"/>
  <c r="O1509" i="1"/>
  <c r="O1509" i="1" a="1"/>
  <c r="N1509" i="1"/>
  <c r="M1509" i="1"/>
  <c r="O1508" i="1"/>
  <c r="O1508" i="1" a="1"/>
  <c r="N1508" i="1"/>
  <c r="M1508" i="1"/>
  <c r="O1507" i="1"/>
  <c r="O1507" i="1" a="1"/>
  <c r="N1507" i="1"/>
  <c r="M1507" i="1"/>
  <c r="O1506" i="1"/>
  <c r="O1506" i="1" a="1"/>
  <c r="N1506" i="1"/>
  <c r="M1506" i="1"/>
  <c r="O1505" i="1"/>
  <c r="O1505" i="1" a="1"/>
  <c r="N1505" i="1"/>
  <c r="M1505" i="1"/>
  <c r="O1504" i="1"/>
  <c r="O1504" i="1" a="1"/>
  <c r="N1504" i="1"/>
  <c r="M1504" i="1"/>
  <c r="O1503" i="1"/>
  <c r="O1503" i="1" a="1"/>
  <c r="N1503" i="1"/>
  <c r="M1503" i="1"/>
  <c r="O1502" i="1"/>
  <c r="O1502" i="1" a="1"/>
  <c r="N1502" i="1"/>
  <c r="M1502" i="1"/>
  <c r="O1501" i="1"/>
  <c r="O1501" i="1" a="1"/>
  <c r="N1501" i="1"/>
  <c r="M1501" i="1"/>
  <c r="O1500" i="1"/>
  <c r="O1500" i="1" a="1"/>
  <c r="N1500" i="1"/>
  <c r="M1500" i="1"/>
  <c r="O1499" i="1"/>
  <c r="O1499" i="1" a="1"/>
  <c r="N1499" i="1"/>
  <c r="M1499" i="1"/>
  <c r="O1498" i="1"/>
  <c r="O1498" i="1" a="1"/>
  <c r="N1498" i="1"/>
  <c r="M1498" i="1"/>
  <c r="O1497" i="1"/>
  <c r="O1497" i="1" a="1"/>
  <c r="N1497" i="1"/>
  <c r="M1497" i="1"/>
  <c r="O1496" i="1"/>
  <c r="O1496" i="1" a="1"/>
  <c r="N1496" i="1"/>
  <c r="M1496" i="1"/>
  <c r="O1495" i="1"/>
  <c r="O1495" i="1" a="1"/>
  <c r="N1495" i="1"/>
  <c r="M1495" i="1"/>
  <c r="O1494" i="1"/>
  <c r="O1494" i="1" a="1"/>
  <c r="N1494" i="1"/>
  <c r="M1494" i="1"/>
  <c r="O1493" i="1"/>
  <c r="O1493" i="1" a="1"/>
  <c r="N1493" i="1"/>
  <c r="M1493" i="1"/>
  <c r="O1492" i="1"/>
  <c r="O1492" i="1" a="1"/>
  <c r="N1492" i="1"/>
  <c r="M1492" i="1"/>
  <c r="O1491" i="1"/>
  <c r="O1491" i="1" a="1"/>
  <c r="N1491" i="1"/>
  <c r="M1491" i="1"/>
  <c r="O1490" i="1"/>
  <c r="O1490" i="1" a="1"/>
  <c r="N1490" i="1"/>
  <c r="M1490" i="1"/>
  <c r="O1489" i="1"/>
  <c r="O1489" i="1" a="1"/>
  <c r="N1489" i="1"/>
  <c r="M1489" i="1"/>
  <c r="O1488" i="1"/>
  <c r="O1488" i="1" a="1"/>
  <c r="N1488" i="1"/>
  <c r="M1488" i="1"/>
  <c r="O1487" i="1"/>
  <c r="O1487" i="1" a="1"/>
  <c r="N1487" i="1"/>
  <c r="M1487" i="1"/>
  <c r="O1486" i="1"/>
  <c r="O1486" i="1" a="1"/>
  <c r="N1486" i="1"/>
  <c r="M1486" i="1"/>
  <c r="O1485" i="1"/>
  <c r="O1485" i="1" a="1"/>
  <c r="N1485" i="1"/>
  <c r="M1485" i="1"/>
  <c r="O1484" i="1"/>
  <c r="O1484" i="1" a="1"/>
  <c r="N1484" i="1"/>
  <c r="M1484" i="1"/>
  <c r="O1483" i="1"/>
  <c r="O1483" i="1" a="1"/>
  <c r="N1483" i="1"/>
  <c r="M1483" i="1"/>
  <c r="O1482" i="1"/>
  <c r="O1482" i="1" a="1"/>
  <c r="N1482" i="1"/>
  <c r="M1482" i="1"/>
  <c r="O1481" i="1"/>
  <c r="O1481" i="1" a="1"/>
  <c r="N1481" i="1"/>
  <c r="M1481" i="1"/>
  <c r="O1480" i="1"/>
  <c r="O1480" i="1" a="1"/>
  <c r="N1480" i="1"/>
  <c r="M1480" i="1"/>
  <c r="O1479" i="1"/>
  <c r="O1479" i="1" a="1"/>
  <c r="N1479" i="1"/>
  <c r="M1479" i="1"/>
  <c r="O1478" i="1"/>
  <c r="O1478" i="1" a="1"/>
  <c r="N1478" i="1"/>
  <c r="M1478" i="1"/>
  <c r="O1477" i="1"/>
  <c r="O1477" i="1" a="1"/>
  <c r="N1477" i="1"/>
  <c r="M1477" i="1"/>
  <c r="O1476" i="1"/>
  <c r="O1476" i="1" a="1"/>
  <c r="N1476" i="1"/>
  <c r="M1476" i="1"/>
  <c r="O1475" i="1"/>
  <c r="O1475" i="1" a="1"/>
  <c r="N1475" i="1"/>
  <c r="M1475" i="1"/>
  <c r="O1474" i="1"/>
  <c r="O1474" i="1" a="1"/>
  <c r="N1474" i="1"/>
  <c r="M1474" i="1"/>
  <c r="O1473" i="1"/>
  <c r="O1473" i="1" a="1"/>
  <c r="N1473" i="1"/>
  <c r="M1473" i="1"/>
  <c r="O1472" i="1"/>
  <c r="O1472" i="1" a="1"/>
  <c r="N1472" i="1"/>
  <c r="M1472" i="1"/>
  <c r="O1471" i="1"/>
  <c r="O1471" i="1" a="1"/>
  <c r="N1471" i="1"/>
  <c r="M1471" i="1"/>
  <c r="O1470" i="1"/>
  <c r="O1470" i="1" a="1"/>
  <c r="N1470" i="1"/>
  <c r="M1470" i="1"/>
  <c r="O1469" i="1"/>
  <c r="O1469" i="1" a="1"/>
  <c r="N1469" i="1"/>
  <c r="M1469" i="1"/>
  <c r="O1468" i="1"/>
  <c r="O1468" i="1" a="1"/>
  <c r="N1468" i="1"/>
  <c r="M1468" i="1"/>
  <c r="O1467" i="1"/>
  <c r="O1467" i="1" a="1"/>
  <c r="N1467" i="1"/>
  <c r="M1467" i="1"/>
  <c r="O1466" i="1"/>
  <c r="O1466" i="1" a="1"/>
  <c r="N1466" i="1"/>
  <c r="M1466" i="1"/>
  <c r="O1465" i="1"/>
  <c r="O1465" i="1" a="1"/>
  <c r="N1465" i="1"/>
  <c r="M1465" i="1"/>
  <c r="O1464" i="1"/>
  <c r="O1464" i="1" a="1"/>
  <c r="N1464" i="1"/>
  <c r="M1464" i="1"/>
  <c r="O1463" i="1"/>
  <c r="O1463" i="1" a="1"/>
  <c r="N1463" i="1"/>
  <c r="M1463" i="1"/>
  <c r="O1462" i="1"/>
  <c r="O1462" i="1" a="1"/>
  <c r="N1462" i="1"/>
  <c r="M1462" i="1"/>
  <c r="O1461" i="1"/>
  <c r="O1461" i="1" a="1"/>
  <c r="N1461" i="1"/>
  <c r="M1461" i="1"/>
  <c r="O1460" i="1"/>
  <c r="O1460" i="1" a="1"/>
  <c r="N1460" i="1"/>
  <c r="M1460" i="1"/>
  <c r="O1459" i="1"/>
  <c r="O1459" i="1" a="1"/>
  <c r="N1459" i="1"/>
  <c r="M1459" i="1"/>
  <c r="O1458" i="1"/>
  <c r="O1458" i="1" a="1"/>
  <c r="N1458" i="1"/>
  <c r="M1458" i="1"/>
  <c r="O1457" i="1"/>
  <c r="O1457" i="1" a="1"/>
  <c r="N1457" i="1"/>
  <c r="M1457" i="1"/>
  <c r="O1456" i="1"/>
  <c r="O1456" i="1" a="1"/>
  <c r="N1456" i="1"/>
  <c r="M1456" i="1"/>
  <c r="O1455" i="1"/>
  <c r="O1455" i="1" a="1"/>
  <c r="N1455" i="1"/>
  <c r="M1455" i="1"/>
  <c r="O1454" i="1"/>
  <c r="O1454" i="1" a="1"/>
  <c r="N1454" i="1"/>
  <c r="M1454" i="1"/>
  <c r="O1453" i="1"/>
  <c r="O1453" i="1" a="1"/>
  <c r="N1453" i="1"/>
  <c r="M1453" i="1"/>
  <c r="O1452" i="1"/>
  <c r="O1452" i="1" a="1"/>
  <c r="N1452" i="1"/>
  <c r="M1452" i="1"/>
  <c r="O1451" i="1"/>
  <c r="O1451" i="1" a="1"/>
  <c r="N1451" i="1"/>
  <c r="M1451" i="1"/>
  <c r="O1450" i="1"/>
  <c r="O1450" i="1" a="1"/>
  <c r="N1450" i="1"/>
  <c r="M1450" i="1"/>
  <c r="O1449" i="1"/>
  <c r="O1449" i="1" a="1"/>
  <c r="N1449" i="1"/>
  <c r="M1449" i="1"/>
  <c r="O1448" i="1"/>
  <c r="O1448" i="1" a="1"/>
  <c r="N1448" i="1"/>
  <c r="M1448" i="1"/>
  <c r="O1447" i="1"/>
  <c r="O1447" i="1" a="1"/>
  <c r="N1447" i="1"/>
  <c r="M1447" i="1"/>
  <c r="O1446" i="1"/>
  <c r="O1446" i="1" a="1"/>
  <c r="N1446" i="1"/>
  <c r="M1446" i="1"/>
  <c r="O1445" i="1"/>
  <c r="O1445" i="1" a="1"/>
  <c r="N1445" i="1"/>
  <c r="M1445" i="1"/>
  <c r="O1444" i="1"/>
  <c r="O1444" i="1" a="1"/>
  <c r="N1444" i="1"/>
  <c r="M1444" i="1"/>
  <c r="O1443" i="1"/>
  <c r="O1443" i="1" a="1"/>
  <c r="N1443" i="1"/>
  <c r="M1443" i="1"/>
  <c r="O1442" i="1"/>
  <c r="O1442" i="1" a="1"/>
  <c r="N1442" i="1"/>
  <c r="M1442" i="1"/>
  <c r="O1441" i="1"/>
  <c r="O1441" i="1" a="1"/>
  <c r="N1441" i="1"/>
  <c r="M1441" i="1"/>
  <c r="O1440" i="1"/>
  <c r="O1440" i="1" a="1"/>
  <c r="N1440" i="1"/>
  <c r="M1440" i="1"/>
  <c r="O1439" i="1"/>
  <c r="O1439" i="1" a="1"/>
  <c r="N1439" i="1"/>
  <c r="M1439" i="1"/>
  <c r="O1438" i="1"/>
  <c r="O1438" i="1" a="1"/>
  <c r="N1438" i="1"/>
  <c r="M1438" i="1"/>
  <c r="O1437" i="1"/>
  <c r="O1437" i="1" a="1"/>
  <c r="N1437" i="1"/>
  <c r="M1437" i="1"/>
  <c r="O1436" i="1"/>
  <c r="O1436" i="1" a="1"/>
  <c r="N1436" i="1"/>
  <c r="M1436" i="1"/>
  <c r="O1435" i="1"/>
  <c r="O1435" i="1" a="1"/>
  <c r="N1435" i="1"/>
  <c r="M1435" i="1"/>
  <c r="O1434" i="1"/>
  <c r="O1434" i="1" a="1"/>
  <c r="N1434" i="1"/>
  <c r="M1434" i="1"/>
  <c r="O1433" i="1"/>
  <c r="O1433" i="1" a="1"/>
  <c r="N1433" i="1"/>
  <c r="M1433" i="1"/>
  <c r="O1432" i="1"/>
  <c r="O1432" i="1" a="1"/>
  <c r="N1432" i="1"/>
  <c r="M1432" i="1"/>
  <c r="O1431" i="1"/>
  <c r="O1431" i="1" a="1"/>
  <c r="N1431" i="1"/>
  <c r="M1431" i="1"/>
  <c r="O1430" i="1"/>
  <c r="O1430" i="1" a="1"/>
  <c r="N1430" i="1"/>
  <c r="M1430" i="1"/>
  <c r="O1429" i="1"/>
  <c r="O1429" i="1" a="1"/>
  <c r="N1429" i="1"/>
  <c r="M1429" i="1"/>
  <c r="O1428" i="1"/>
  <c r="O1428" i="1" a="1"/>
  <c r="N1428" i="1"/>
  <c r="M1428" i="1"/>
  <c r="O1427" i="1"/>
  <c r="O1427" i="1" a="1"/>
  <c r="N1427" i="1"/>
  <c r="M1427" i="1"/>
  <c r="O1426" i="1"/>
  <c r="O1426" i="1" a="1"/>
  <c r="N1426" i="1"/>
  <c r="M1426" i="1"/>
  <c r="O1425" i="1"/>
  <c r="O1425" i="1" a="1"/>
  <c r="N1425" i="1"/>
  <c r="M1425" i="1"/>
  <c r="O1424" i="1"/>
  <c r="O1424" i="1" a="1"/>
  <c r="N1424" i="1"/>
  <c r="M1424" i="1"/>
  <c r="O1423" i="1"/>
  <c r="O1423" i="1" a="1"/>
  <c r="N1423" i="1"/>
  <c r="M1423" i="1"/>
  <c r="O1422" i="1"/>
  <c r="O1422" i="1" a="1"/>
  <c r="N1422" i="1"/>
  <c r="M1422" i="1"/>
  <c r="O1421" i="1"/>
  <c r="O1421" i="1" a="1"/>
  <c r="N1421" i="1"/>
  <c r="M1421" i="1"/>
  <c r="O1420" i="1"/>
  <c r="O1420" i="1" a="1"/>
  <c r="N1420" i="1"/>
  <c r="M1420" i="1"/>
  <c r="O1419" i="1"/>
  <c r="O1419" i="1" a="1"/>
  <c r="N1419" i="1"/>
  <c r="M1419" i="1"/>
  <c r="O1418" i="1"/>
  <c r="O1418" i="1" a="1"/>
  <c r="N1418" i="1"/>
  <c r="M1418" i="1"/>
  <c r="O1417" i="1"/>
  <c r="O1417" i="1" a="1"/>
  <c r="N1417" i="1"/>
  <c r="M1417" i="1"/>
  <c r="O1416" i="1"/>
  <c r="O1416" i="1" a="1"/>
  <c r="N1416" i="1"/>
  <c r="M1416" i="1"/>
  <c r="O1415" i="1"/>
  <c r="O1415" i="1" a="1"/>
  <c r="N1415" i="1"/>
  <c r="M1415" i="1"/>
  <c r="O1414" i="1"/>
  <c r="O1414" i="1" a="1"/>
  <c r="N1414" i="1"/>
  <c r="M1414" i="1"/>
  <c r="O1413" i="1"/>
  <c r="O1413" i="1" a="1"/>
  <c r="N1413" i="1"/>
  <c r="M1413" i="1"/>
  <c r="O1412" i="1"/>
  <c r="O1412" i="1" a="1"/>
  <c r="N1412" i="1"/>
  <c r="M1412" i="1"/>
  <c r="O1411" i="1"/>
  <c r="O1411" i="1" a="1"/>
  <c r="N1411" i="1"/>
  <c r="M1411" i="1"/>
  <c r="O1410" i="1"/>
  <c r="O1410" i="1" a="1"/>
  <c r="N1410" i="1"/>
  <c r="M1410" i="1"/>
  <c r="O1409" i="1"/>
  <c r="O1409" i="1" a="1"/>
  <c r="N1409" i="1"/>
  <c r="M1409" i="1"/>
  <c r="O1408" i="1"/>
  <c r="O1408" i="1" a="1"/>
  <c r="N1408" i="1"/>
  <c r="M1408" i="1"/>
  <c r="O1407" i="1"/>
  <c r="O1407" i="1" a="1"/>
  <c r="N1407" i="1"/>
  <c r="M1407" i="1"/>
  <c r="O1406" i="1"/>
  <c r="O1406" i="1" a="1"/>
  <c r="N1406" i="1"/>
  <c r="M1406" i="1"/>
  <c r="O1405" i="1"/>
  <c r="O1405" i="1" a="1"/>
  <c r="N1405" i="1"/>
  <c r="M1405" i="1"/>
  <c r="O1404" i="1"/>
  <c r="O1404" i="1" a="1"/>
  <c r="N1404" i="1"/>
  <c r="M1404" i="1"/>
  <c r="O1403" i="1"/>
  <c r="O1403" i="1" a="1"/>
  <c r="N1403" i="1"/>
  <c r="M1403" i="1"/>
  <c r="O1402" i="1"/>
  <c r="O1402" i="1" a="1"/>
  <c r="N1402" i="1"/>
  <c r="M1402" i="1"/>
  <c r="O1401" i="1"/>
  <c r="O1401" i="1" a="1"/>
  <c r="N1401" i="1"/>
  <c r="M1401" i="1"/>
  <c r="O1400" i="1"/>
  <c r="O1400" i="1" a="1"/>
  <c r="N1400" i="1"/>
  <c r="M1400" i="1"/>
  <c r="O1399" i="1"/>
  <c r="O1399" i="1" a="1"/>
  <c r="N1399" i="1"/>
  <c r="M1399" i="1"/>
  <c r="O1398" i="1"/>
  <c r="O1398" i="1" a="1"/>
  <c r="N1398" i="1"/>
  <c r="M1398" i="1"/>
  <c r="O1397" i="1"/>
  <c r="O1397" i="1" a="1"/>
  <c r="N1397" i="1"/>
  <c r="M1397" i="1"/>
  <c r="O1396" i="1"/>
  <c r="O1396" i="1" a="1"/>
  <c r="N1396" i="1"/>
  <c r="M1396" i="1"/>
  <c r="O1395" i="1"/>
  <c r="O1395" i="1" a="1"/>
  <c r="N1395" i="1"/>
  <c r="M1395" i="1"/>
  <c r="O1394" i="1"/>
  <c r="O1394" i="1" a="1"/>
  <c r="N1394" i="1"/>
  <c r="M1394" i="1"/>
  <c r="O1393" i="1"/>
  <c r="O1393" i="1" a="1"/>
  <c r="N1393" i="1"/>
  <c r="M1393" i="1"/>
  <c r="O1392" i="1"/>
  <c r="O1392" i="1" a="1"/>
  <c r="N1392" i="1"/>
  <c r="M1392" i="1"/>
  <c r="O1391" i="1"/>
  <c r="O1391" i="1" a="1"/>
  <c r="N1391" i="1"/>
  <c r="M1391" i="1"/>
  <c r="O1390" i="1"/>
  <c r="O1390" i="1" a="1"/>
  <c r="N1390" i="1"/>
  <c r="M1390" i="1"/>
  <c r="O1389" i="1"/>
  <c r="O1389" i="1" a="1"/>
  <c r="N1389" i="1"/>
  <c r="M1389" i="1"/>
  <c r="O1388" i="1"/>
  <c r="O1388" i="1" a="1"/>
  <c r="N1388" i="1"/>
  <c r="M1388" i="1"/>
  <c r="O1387" i="1"/>
  <c r="O1387" i="1" a="1"/>
  <c r="N1387" i="1"/>
  <c r="M1387" i="1"/>
  <c r="O1386" i="1"/>
  <c r="O1386" i="1" a="1"/>
  <c r="N1386" i="1"/>
  <c r="M1386" i="1"/>
  <c r="O1385" i="1"/>
  <c r="O1385" i="1" a="1"/>
  <c r="N1385" i="1"/>
  <c r="M1385" i="1"/>
  <c r="O1384" i="1"/>
  <c r="O1384" i="1" a="1"/>
  <c r="N1384" i="1"/>
  <c r="M1384" i="1"/>
  <c r="O1383" i="1"/>
  <c r="O1383" i="1" a="1"/>
  <c r="N1383" i="1"/>
  <c r="M1383" i="1"/>
  <c r="O1382" i="1"/>
  <c r="O1382" i="1" a="1"/>
  <c r="N1382" i="1"/>
  <c r="M1382" i="1"/>
  <c r="O1381" i="1"/>
  <c r="O1381" i="1" a="1"/>
  <c r="N1381" i="1"/>
  <c r="M1381" i="1"/>
  <c r="O1380" i="1"/>
  <c r="O1380" i="1" a="1"/>
  <c r="N1380" i="1"/>
  <c r="M1380" i="1"/>
  <c r="O1379" i="1"/>
  <c r="O1379" i="1" a="1"/>
  <c r="N1379" i="1"/>
  <c r="M1379" i="1"/>
  <c r="O1378" i="1"/>
  <c r="O1378" i="1" a="1"/>
  <c r="N1378" i="1"/>
  <c r="M1378" i="1"/>
  <c r="O1377" i="1"/>
  <c r="O1377" i="1" a="1"/>
  <c r="N1377" i="1"/>
  <c r="M1377" i="1"/>
  <c r="O1376" i="1"/>
  <c r="O1376" i="1" a="1"/>
  <c r="N1376" i="1"/>
  <c r="M1376" i="1"/>
  <c r="O1375" i="1"/>
  <c r="O1375" i="1" a="1"/>
  <c r="N1375" i="1"/>
  <c r="M1375" i="1"/>
  <c r="O1374" i="1"/>
  <c r="O1374" i="1" a="1"/>
  <c r="N1374" i="1"/>
  <c r="M1374" i="1"/>
  <c r="O1373" i="1"/>
  <c r="O1373" i="1" a="1"/>
  <c r="N1373" i="1"/>
  <c r="M1373" i="1"/>
  <c r="O1372" i="1"/>
  <c r="O1372" i="1" a="1"/>
  <c r="N1372" i="1"/>
  <c r="M1372" i="1"/>
  <c r="O1371" i="1"/>
  <c r="O1371" i="1" a="1"/>
  <c r="N1371" i="1"/>
  <c r="M1371" i="1"/>
  <c r="O1370" i="1"/>
  <c r="O1370" i="1" a="1"/>
  <c r="N1370" i="1"/>
  <c r="M1370" i="1"/>
  <c r="O1369" i="1"/>
  <c r="O1369" i="1" a="1"/>
  <c r="N1369" i="1"/>
  <c r="M1369" i="1"/>
  <c r="O1368" i="1"/>
  <c r="O1368" i="1" a="1"/>
  <c r="N1368" i="1"/>
  <c r="M1368" i="1"/>
  <c r="O1367" i="1"/>
  <c r="O1367" i="1" a="1"/>
  <c r="N1367" i="1"/>
  <c r="M1367" i="1"/>
  <c r="O1366" i="1"/>
  <c r="O1366" i="1" a="1"/>
  <c r="N1366" i="1"/>
  <c r="M1366" i="1"/>
  <c r="O1365" i="1"/>
  <c r="O1365" i="1" a="1"/>
  <c r="N1365" i="1"/>
  <c r="M1365" i="1"/>
  <c r="O1364" i="1"/>
  <c r="O1364" i="1" a="1"/>
  <c r="N1364" i="1"/>
  <c r="M1364" i="1"/>
  <c r="O1363" i="1"/>
  <c r="O1363" i="1" a="1"/>
  <c r="N1363" i="1"/>
  <c r="M1363" i="1"/>
  <c r="O1362" i="1"/>
  <c r="O1362" i="1" a="1"/>
  <c r="N1362" i="1"/>
  <c r="M1362" i="1"/>
  <c r="O1361" i="1"/>
  <c r="O1361" i="1" a="1"/>
  <c r="N1361" i="1"/>
  <c r="M1361" i="1"/>
  <c r="O1360" i="1"/>
  <c r="O1360" i="1" a="1"/>
  <c r="N1360" i="1"/>
  <c r="M1360" i="1"/>
  <c r="O1359" i="1"/>
  <c r="O1359" i="1" a="1"/>
  <c r="N1359" i="1"/>
  <c r="M1359" i="1"/>
  <c r="O1358" i="1"/>
  <c r="O1358" i="1" a="1"/>
  <c r="N1358" i="1"/>
  <c r="M1358" i="1"/>
  <c r="O1357" i="1"/>
  <c r="O1357" i="1" a="1"/>
  <c r="N1357" i="1"/>
  <c r="M1357" i="1"/>
  <c r="O1356" i="1"/>
  <c r="O1356" i="1" a="1"/>
  <c r="N1356" i="1"/>
  <c r="M1356" i="1"/>
  <c r="O1355" i="1"/>
  <c r="O1355" i="1" a="1"/>
  <c r="N1355" i="1"/>
  <c r="M1355" i="1"/>
  <c r="O1354" i="1"/>
  <c r="O1354" i="1" a="1"/>
  <c r="N1354" i="1"/>
  <c r="M1354" i="1"/>
  <c r="O1353" i="1"/>
  <c r="O1353" i="1" a="1"/>
  <c r="N1353" i="1"/>
  <c r="M1353" i="1"/>
  <c r="O1352" i="1"/>
  <c r="O1352" i="1" a="1"/>
  <c r="N1352" i="1"/>
  <c r="M1352" i="1"/>
  <c r="O1351" i="1"/>
  <c r="O1351" i="1" a="1"/>
  <c r="N1351" i="1"/>
  <c r="M1351" i="1"/>
  <c r="O1350" i="1"/>
  <c r="O1350" i="1" a="1"/>
  <c r="N1350" i="1"/>
  <c r="M1350" i="1"/>
  <c r="O1349" i="1"/>
  <c r="O1349" i="1" a="1"/>
  <c r="N1349" i="1"/>
  <c r="M1349" i="1"/>
  <c r="O1348" i="1"/>
  <c r="O1348" i="1" a="1"/>
  <c r="N1348" i="1"/>
  <c r="M1348" i="1"/>
  <c r="O1347" i="1"/>
  <c r="O1347" i="1" a="1"/>
  <c r="N1347" i="1"/>
  <c r="M1347" i="1"/>
  <c r="O1346" i="1"/>
  <c r="O1346" i="1" a="1"/>
  <c r="N1346" i="1"/>
  <c r="M1346" i="1"/>
  <c r="O1345" i="1"/>
  <c r="O1345" i="1" a="1"/>
  <c r="N1345" i="1"/>
  <c r="M1345" i="1"/>
  <c r="O1344" i="1"/>
  <c r="O1344" i="1" a="1"/>
  <c r="N1344" i="1"/>
  <c r="M1344" i="1"/>
  <c r="O1343" i="1"/>
  <c r="O1343" i="1" a="1"/>
  <c r="N1343" i="1"/>
  <c r="M1343" i="1"/>
  <c r="O1342" i="1"/>
  <c r="O1342" i="1" a="1"/>
  <c r="N1342" i="1"/>
  <c r="M1342" i="1"/>
  <c r="O1341" i="1"/>
  <c r="O1341" i="1" a="1"/>
  <c r="N1341" i="1"/>
  <c r="M1341" i="1"/>
  <c r="O1340" i="1"/>
  <c r="O1340" i="1" a="1"/>
  <c r="N1340" i="1"/>
  <c r="M1340" i="1"/>
  <c r="O1339" i="1"/>
  <c r="O1339" i="1" a="1"/>
  <c r="N1339" i="1"/>
  <c r="M1339" i="1"/>
  <c r="O1338" i="1"/>
  <c r="O1338" i="1" a="1"/>
  <c r="N1338" i="1"/>
  <c r="M1338" i="1"/>
  <c r="O1337" i="1"/>
  <c r="O1337" i="1" a="1"/>
  <c r="N1337" i="1"/>
  <c r="M1337" i="1"/>
  <c r="O1336" i="1"/>
  <c r="O1336" i="1" a="1"/>
  <c r="N1336" i="1"/>
  <c r="M1336" i="1"/>
  <c r="O1335" i="1"/>
  <c r="O1335" i="1" a="1"/>
  <c r="N1335" i="1"/>
  <c r="M1335" i="1"/>
  <c r="O1334" i="1"/>
  <c r="O1334" i="1" a="1"/>
  <c r="N1334" i="1"/>
  <c r="M1334" i="1"/>
  <c r="O1333" i="1"/>
  <c r="O1333" i="1" a="1"/>
  <c r="N1333" i="1"/>
  <c r="M1333" i="1"/>
  <c r="O1332" i="1"/>
  <c r="O1332" i="1" a="1"/>
  <c r="N1332" i="1"/>
  <c r="M1332" i="1"/>
  <c r="O1331" i="1"/>
  <c r="O1331" i="1" a="1"/>
  <c r="N1331" i="1"/>
  <c r="M1331" i="1"/>
  <c r="O1330" i="1"/>
  <c r="O1330" i="1" a="1"/>
  <c r="N1330" i="1"/>
  <c r="M1330" i="1"/>
  <c r="O1329" i="1"/>
  <c r="O1329" i="1" a="1"/>
  <c r="N1329" i="1"/>
  <c r="M1329" i="1"/>
  <c r="O1328" i="1"/>
  <c r="O1328" i="1" a="1"/>
  <c r="N1328" i="1"/>
  <c r="M1328" i="1"/>
  <c r="O1327" i="1"/>
  <c r="O1327" i="1" a="1"/>
  <c r="N1327" i="1"/>
  <c r="M1327" i="1"/>
  <c r="O1326" i="1"/>
  <c r="O1326" i="1" a="1"/>
  <c r="N1326" i="1"/>
  <c r="M1326" i="1"/>
  <c r="O1325" i="1"/>
  <c r="O1325" i="1" a="1"/>
  <c r="N1325" i="1"/>
  <c r="M1325" i="1"/>
  <c r="O1324" i="1"/>
  <c r="O1324" i="1" a="1"/>
  <c r="N1324" i="1"/>
  <c r="M1324" i="1"/>
  <c r="O1323" i="1"/>
  <c r="O1323" i="1" a="1"/>
  <c r="N1323" i="1"/>
  <c r="M1323" i="1"/>
  <c r="O1322" i="1"/>
  <c r="O1322" i="1" a="1"/>
  <c r="N1322" i="1"/>
  <c r="M1322" i="1"/>
  <c r="O1321" i="1"/>
  <c r="O1321" i="1" a="1"/>
  <c r="N1321" i="1"/>
  <c r="M1321" i="1"/>
  <c r="O1320" i="1"/>
  <c r="O1320" i="1" a="1"/>
  <c r="N1320" i="1"/>
  <c r="M1320" i="1"/>
  <c r="O1319" i="1"/>
  <c r="O1319" i="1" a="1"/>
  <c r="N1319" i="1"/>
  <c r="M1319" i="1"/>
  <c r="O1318" i="1"/>
  <c r="O1318" i="1" a="1"/>
  <c r="N1318" i="1"/>
  <c r="M1318" i="1"/>
  <c r="O1317" i="1"/>
  <c r="O1317" i="1" a="1"/>
  <c r="N1317" i="1"/>
  <c r="M1317" i="1"/>
  <c r="O1316" i="1"/>
  <c r="O1316" i="1" a="1"/>
  <c r="N1316" i="1"/>
  <c r="M1316" i="1"/>
  <c r="O1315" i="1"/>
  <c r="O1315" i="1" a="1"/>
  <c r="N1315" i="1"/>
  <c r="M1315" i="1"/>
  <c r="O1314" i="1"/>
  <c r="O1314" i="1" a="1"/>
  <c r="N1314" i="1"/>
  <c r="M1314" i="1"/>
  <c r="O1313" i="1"/>
  <c r="O1313" i="1" a="1"/>
  <c r="N1313" i="1"/>
  <c r="M1313" i="1"/>
  <c r="O1312" i="1"/>
  <c r="O1312" i="1" a="1"/>
  <c r="N1312" i="1"/>
  <c r="M1312" i="1"/>
  <c r="O1311" i="1"/>
  <c r="O1311" i="1" a="1"/>
  <c r="N1311" i="1"/>
  <c r="M1311" i="1"/>
  <c r="O1310" i="1"/>
  <c r="O1310" i="1" a="1"/>
  <c r="N1310" i="1"/>
  <c r="M1310" i="1"/>
  <c r="O1309" i="1"/>
  <c r="O1309" i="1" a="1"/>
  <c r="N1309" i="1"/>
  <c r="M1309" i="1"/>
  <c r="O1308" i="1"/>
  <c r="O1308" i="1" a="1"/>
  <c r="N1308" i="1"/>
  <c r="M1308" i="1"/>
  <c r="O1307" i="1"/>
  <c r="O1307" i="1" a="1"/>
  <c r="N1307" i="1"/>
  <c r="M1307" i="1"/>
  <c r="O1306" i="1"/>
  <c r="O1306" i="1" a="1"/>
  <c r="N1306" i="1"/>
  <c r="M1306" i="1"/>
  <c r="O1305" i="1"/>
  <c r="O1305" i="1" a="1"/>
  <c r="N1305" i="1"/>
  <c r="M1305" i="1"/>
  <c r="O1304" i="1"/>
  <c r="O1304" i="1" a="1"/>
  <c r="N1304" i="1"/>
  <c r="M1304" i="1"/>
  <c r="O1303" i="1"/>
  <c r="O1303" i="1" a="1"/>
  <c r="N1303" i="1"/>
  <c r="M1303" i="1"/>
  <c r="O1302" i="1"/>
  <c r="O1302" i="1" a="1"/>
  <c r="N1302" i="1"/>
  <c r="M1302" i="1"/>
  <c r="O1301" i="1"/>
  <c r="O1301" i="1" a="1"/>
  <c r="N1301" i="1"/>
  <c r="M1301" i="1"/>
  <c r="O1300" i="1"/>
  <c r="O1300" i="1" a="1"/>
  <c r="N1300" i="1"/>
  <c r="M1300" i="1"/>
  <c r="O1299" i="1"/>
  <c r="O1299" i="1" a="1"/>
  <c r="N1299" i="1"/>
  <c r="M1299" i="1"/>
  <c r="O1298" i="1"/>
  <c r="O1298" i="1" a="1"/>
  <c r="N1298" i="1"/>
  <c r="M1298" i="1"/>
  <c r="O1297" i="1"/>
  <c r="O1297" i="1" a="1"/>
  <c r="N1297" i="1"/>
  <c r="M1297" i="1"/>
  <c r="O1296" i="1"/>
  <c r="O1296" i="1" a="1"/>
  <c r="N1296" i="1"/>
  <c r="M1296" i="1"/>
  <c r="O1295" i="1"/>
  <c r="O1295" i="1" a="1"/>
  <c r="N1295" i="1"/>
  <c r="M1295" i="1"/>
  <c r="O1294" i="1"/>
  <c r="O1294" i="1" a="1"/>
  <c r="N1294" i="1"/>
  <c r="M1294" i="1"/>
  <c r="O1293" i="1"/>
  <c r="O1293" i="1" a="1"/>
  <c r="N1293" i="1"/>
  <c r="M1293" i="1"/>
  <c r="O1292" i="1"/>
  <c r="O1292" i="1" a="1"/>
  <c r="N1292" i="1"/>
  <c r="M1292" i="1"/>
  <c r="O1291" i="1"/>
  <c r="O1291" i="1" a="1"/>
  <c r="N1291" i="1"/>
  <c r="M1291" i="1"/>
  <c r="O1290" i="1"/>
  <c r="O1290" i="1" a="1"/>
  <c r="N1290" i="1"/>
  <c r="M1290" i="1"/>
  <c r="O1289" i="1"/>
  <c r="O1289" i="1" a="1"/>
  <c r="N1289" i="1"/>
  <c r="M1289" i="1"/>
  <c r="O1288" i="1"/>
  <c r="O1288" i="1" a="1"/>
  <c r="N1288" i="1"/>
  <c r="M1288" i="1"/>
  <c r="O1287" i="1"/>
  <c r="O1287" i="1" a="1"/>
  <c r="N1287" i="1"/>
  <c r="M1287" i="1"/>
  <c r="O1286" i="1"/>
  <c r="O1286" i="1" a="1"/>
  <c r="N1286" i="1"/>
  <c r="M1286" i="1"/>
  <c r="O1285" i="1"/>
  <c r="O1285" i="1" a="1"/>
  <c r="N1285" i="1"/>
  <c r="M1285" i="1"/>
  <c r="O1284" i="1"/>
  <c r="O1284" i="1" a="1"/>
  <c r="N1284" i="1"/>
  <c r="M1284" i="1"/>
  <c r="O1283" i="1"/>
  <c r="O1283" i="1" a="1"/>
  <c r="N1283" i="1"/>
  <c r="M1283" i="1"/>
  <c r="O1282" i="1"/>
  <c r="O1282" i="1" a="1"/>
  <c r="N1282" i="1"/>
  <c r="M1282" i="1"/>
  <c r="O1281" i="1"/>
  <c r="O1281" i="1" a="1"/>
  <c r="N1281" i="1"/>
  <c r="M1281" i="1"/>
  <c r="O1280" i="1"/>
  <c r="O1280" i="1" a="1"/>
  <c r="N1280" i="1"/>
  <c r="M1280" i="1"/>
  <c r="O1279" i="1"/>
  <c r="O1279" i="1" a="1"/>
  <c r="N1279" i="1"/>
  <c r="M1279" i="1"/>
  <c r="O1278" i="1"/>
  <c r="O1278" i="1" a="1"/>
  <c r="N1278" i="1"/>
  <c r="M1278" i="1"/>
  <c r="O1277" i="1"/>
  <c r="O1277" i="1" a="1"/>
  <c r="N1277" i="1"/>
  <c r="M1277" i="1"/>
  <c r="O1276" i="1"/>
  <c r="O1276" i="1" a="1"/>
  <c r="N1276" i="1"/>
  <c r="M1276" i="1"/>
  <c r="O1275" i="1"/>
  <c r="O1275" i="1" a="1"/>
  <c r="N1275" i="1"/>
  <c r="M1275" i="1"/>
  <c r="O1274" i="1"/>
  <c r="O1274" i="1" a="1"/>
  <c r="N1274" i="1"/>
  <c r="M1274" i="1"/>
  <c r="O1273" i="1"/>
  <c r="O1273" i="1" a="1"/>
  <c r="N1273" i="1"/>
  <c r="M1273" i="1"/>
  <c r="O1272" i="1"/>
  <c r="O1272" i="1" a="1"/>
  <c r="N1272" i="1"/>
  <c r="M1272" i="1"/>
  <c r="O1271" i="1"/>
  <c r="O1271" i="1" a="1"/>
  <c r="N1271" i="1"/>
  <c r="M1271" i="1"/>
  <c r="O1270" i="1"/>
  <c r="O1270" i="1" a="1"/>
  <c r="N1270" i="1"/>
  <c r="M1270" i="1"/>
  <c r="O1269" i="1"/>
  <c r="O1269" i="1" a="1"/>
  <c r="N1269" i="1"/>
  <c r="M1269" i="1"/>
  <c r="O1268" i="1"/>
  <c r="O1268" i="1" a="1"/>
  <c r="N1268" i="1"/>
  <c r="M1268" i="1"/>
  <c r="O1267" i="1"/>
  <c r="O1267" i="1" a="1"/>
  <c r="N1267" i="1"/>
  <c r="M1267" i="1"/>
  <c r="O1266" i="1"/>
  <c r="O1266" i="1" a="1"/>
  <c r="N1266" i="1"/>
  <c r="M1266" i="1"/>
  <c r="O1265" i="1"/>
  <c r="O1265" i="1" a="1"/>
  <c r="N1265" i="1"/>
  <c r="M1265" i="1"/>
  <c r="O1264" i="1"/>
  <c r="O1264" i="1" a="1"/>
  <c r="N1264" i="1"/>
  <c r="M1264" i="1"/>
  <c r="O1263" i="1"/>
  <c r="O1263" i="1" a="1"/>
  <c r="N1263" i="1"/>
  <c r="M1263" i="1"/>
  <c r="O1262" i="1"/>
  <c r="O1262" i="1" a="1"/>
  <c r="N1262" i="1"/>
  <c r="M1262" i="1"/>
  <c r="O1261" i="1"/>
  <c r="O1261" i="1" a="1"/>
  <c r="N1261" i="1"/>
  <c r="M1261" i="1"/>
  <c r="O1260" i="1"/>
  <c r="O1260" i="1" a="1"/>
  <c r="N1260" i="1"/>
  <c r="M1260" i="1"/>
  <c r="O1259" i="1"/>
  <c r="O1259" i="1" a="1"/>
  <c r="N1259" i="1"/>
  <c r="M1259" i="1"/>
  <c r="O1258" i="1"/>
  <c r="O1258" i="1" a="1"/>
  <c r="N1258" i="1"/>
  <c r="M1258" i="1"/>
  <c r="O1257" i="1"/>
  <c r="O1257" i="1" a="1"/>
  <c r="N1257" i="1"/>
  <c r="M1257" i="1"/>
  <c r="O1256" i="1"/>
  <c r="O1256" i="1" a="1"/>
  <c r="N1256" i="1"/>
  <c r="M1256" i="1"/>
  <c r="O1255" i="1"/>
  <c r="O1255" i="1" a="1"/>
  <c r="N1255" i="1"/>
  <c r="M1255" i="1"/>
  <c r="O1254" i="1"/>
  <c r="O1254" i="1" a="1"/>
  <c r="N1254" i="1"/>
  <c r="M1254" i="1"/>
  <c r="O1253" i="1"/>
  <c r="O1253" i="1" a="1"/>
  <c r="N1253" i="1"/>
  <c r="M1253" i="1"/>
  <c r="O1252" i="1"/>
  <c r="O1252" i="1" a="1"/>
  <c r="N1252" i="1"/>
  <c r="M1252" i="1"/>
  <c r="O1251" i="1"/>
  <c r="O1251" i="1" a="1"/>
  <c r="N1251" i="1"/>
  <c r="M1251" i="1"/>
  <c r="O1250" i="1"/>
  <c r="O1250" i="1" a="1"/>
  <c r="N1250" i="1"/>
  <c r="M1250" i="1"/>
  <c r="O1249" i="1"/>
  <c r="O1249" i="1" a="1"/>
  <c r="N1249" i="1"/>
  <c r="M1249" i="1"/>
  <c r="O1248" i="1"/>
  <c r="O1248" i="1" a="1"/>
  <c r="N1248" i="1"/>
  <c r="M1248" i="1"/>
  <c r="O1247" i="1"/>
  <c r="O1247" i="1" a="1"/>
  <c r="N1247" i="1"/>
  <c r="M1247" i="1"/>
  <c r="O1246" i="1"/>
  <c r="O1246" i="1" a="1"/>
  <c r="N1246" i="1"/>
  <c r="M1246" i="1"/>
  <c r="O1245" i="1"/>
  <c r="O1245" i="1" a="1"/>
  <c r="N1245" i="1"/>
  <c r="M1245" i="1"/>
  <c r="O1244" i="1"/>
  <c r="O1244" i="1" a="1"/>
  <c r="N1244" i="1"/>
  <c r="M1244" i="1"/>
  <c r="O1243" i="1"/>
  <c r="O1243" i="1" a="1"/>
  <c r="N1243" i="1"/>
  <c r="M1243" i="1"/>
  <c r="O1242" i="1"/>
  <c r="O1242" i="1" a="1"/>
  <c r="N1242" i="1"/>
  <c r="M1242" i="1"/>
  <c r="O1241" i="1"/>
  <c r="O1241" i="1" a="1"/>
  <c r="N1241" i="1"/>
  <c r="M1241" i="1"/>
  <c r="O1240" i="1"/>
  <c r="O1240" i="1" a="1"/>
  <c r="N1240" i="1"/>
  <c r="M1240" i="1"/>
  <c r="O1239" i="1"/>
  <c r="O1239" i="1" a="1"/>
  <c r="N1239" i="1"/>
  <c r="M1239" i="1"/>
  <c r="O1238" i="1"/>
  <c r="O1238" i="1" a="1"/>
  <c r="N1238" i="1"/>
  <c r="M1238" i="1"/>
  <c r="O1237" i="1"/>
  <c r="O1237" i="1" a="1"/>
  <c r="N1237" i="1"/>
  <c r="M1237" i="1"/>
  <c r="O1236" i="1"/>
  <c r="O1236" i="1" a="1"/>
  <c r="N1236" i="1"/>
  <c r="M1236" i="1"/>
  <c r="O1235" i="1"/>
  <c r="O1235" i="1" a="1"/>
  <c r="N1235" i="1"/>
  <c r="M1235" i="1"/>
  <c r="O1234" i="1"/>
  <c r="O1234" i="1" a="1"/>
  <c r="N1234" i="1"/>
  <c r="M1234" i="1"/>
  <c r="O1233" i="1"/>
  <c r="O1233" i="1" a="1"/>
  <c r="N1233" i="1"/>
  <c r="M1233" i="1"/>
  <c r="O1232" i="1"/>
  <c r="O1232" i="1" a="1"/>
  <c r="N1232" i="1"/>
  <c r="M1232" i="1"/>
  <c r="O1231" i="1"/>
  <c r="O1231" i="1" a="1"/>
  <c r="N1231" i="1"/>
  <c r="M1231" i="1"/>
  <c r="O1230" i="1"/>
  <c r="O1230" i="1" a="1"/>
  <c r="N1230" i="1"/>
  <c r="M1230" i="1"/>
  <c r="O1229" i="1"/>
  <c r="O1229" i="1" a="1"/>
  <c r="N1229" i="1"/>
  <c r="M1229" i="1"/>
  <c r="O1228" i="1"/>
  <c r="O1228" i="1" a="1"/>
  <c r="N1228" i="1"/>
  <c r="M1228" i="1"/>
  <c r="O1227" i="1"/>
  <c r="O1227" i="1" a="1"/>
  <c r="N1227" i="1"/>
  <c r="M1227" i="1"/>
  <c r="O1226" i="1"/>
  <c r="O1226" i="1" a="1"/>
  <c r="N1226" i="1"/>
  <c r="M1226" i="1"/>
  <c r="O1225" i="1"/>
  <c r="O1225" i="1" a="1"/>
  <c r="N1225" i="1"/>
  <c r="M1225" i="1"/>
  <c r="O1224" i="1"/>
  <c r="O1224" i="1" a="1"/>
  <c r="N1224" i="1"/>
  <c r="M1224" i="1"/>
  <c r="O1223" i="1"/>
  <c r="O1223" i="1" a="1"/>
  <c r="N1223" i="1"/>
  <c r="M1223" i="1"/>
  <c r="O1222" i="1"/>
  <c r="O1222" i="1" a="1"/>
  <c r="N1222" i="1"/>
  <c r="M1222" i="1"/>
  <c r="O1221" i="1"/>
  <c r="O1221" i="1" a="1"/>
  <c r="N1221" i="1"/>
  <c r="M1221" i="1"/>
  <c r="O1220" i="1"/>
  <c r="O1220" i="1" a="1"/>
  <c r="N1220" i="1"/>
  <c r="M1220" i="1"/>
  <c r="O1219" i="1"/>
  <c r="O1219" i="1" a="1"/>
  <c r="N1219" i="1"/>
  <c r="M1219" i="1"/>
  <c r="O1218" i="1"/>
  <c r="O1218" i="1" a="1"/>
  <c r="N1218" i="1"/>
  <c r="M1218" i="1"/>
  <c r="O1217" i="1"/>
  <c r="O1217" i="1" a="1"/>
  <c r="N1217" i="1"/>
  <c r="M1217" i="1"/>
  <c r="O1216" i="1"/>
  <c r="O1216" i="1" a="1"/>
  <c r="N1216" i="1"/>
  <c r="M1216" i="1"/>
  <c r="O1215" i="1"/>
  <c r="O1215" i="1" a="1"/>
  <c r="N1215" i="1"/>
  <c r="M1215" i="1"/>
  <c r="O1214" i="1"/>
  <c r="O1214" i="1" a="1"/>
  <c r="N1214" i="1"/>
  <c r="M1214" i="1"/>
  <c r="O1213" i="1"/>
  <c r="O1213" i="1" a="1"/>
  <c r="N1213" i="1"/>
  <c r="M1213" i="1"/>
  <c r="O1212" i="1"/>
  <c r="O1212" i="1" a="1"/>
  <c r="N1212" i="1"/>
  <c r="M1212" i="1"/>
  <c r="O1211" i="1"/>
  <c r="O1211" i="1" a="1"/>
  <c r="N1211" i="1"/>
  <c r="M1211" i="1"/>
  <c r="O1210" i="1"/>
  <c r="O1210" i="1" a="1"/>
  <c r="N1210" i="1"/>
  <c r="M1210" i="1"/>
  <c r="O1209" i="1"/>
  <c r="O1209" i="1" a="1"/>
  <c r="N1209" i="1"/>
  <c r="M1209" i="1"/>
  <c r="O1208" i="1"/>
  <c r="O1208" i="1" a="1"/>
  <c r="N1208" i="1"/>
  <c r="M1208" i="1"/>
  <c r="O1207" i="1"/>
  <c r="O1207" i="1" a="1"/>
  <c r="N1207" i="1"/>
  <c r="M1207" i="1"/>
  <c r="O1206" i="1"/>
  <c r="O1206" i="1" a="1"/>
  <c r="N1206" i="1"/>
  <c r="M1206" i="1"/>
  <c r="O1205" i="1"/>
  <c r="O1205" i="1" a="1"/>
  <c r="N1205" i="1"/>
  <c r="M1205" i="1"/>
  <c r="O1204" i="1"/>
  <c r="O1204" i="1" a="1"/>
  <c r="N1204" i="1"/>
  <c r="M1204" i="1"/>
  <c r="O1203" i="1"/>
  <c r="O1203" i="1" a="1"/>
  <c r="N1203" i="1"/>
  <c r="M1203" i="1"/>
  <c r="O1202" i="1"/>
  <c r="O1202" i="1" a="1"/>
  <c r="N1202" i="1"/>
  <c r="M1202" i="1"/>
  <c r="O1201" i="1"/>
  <c r="O1201" i="1" a="1"/>
  <c r="N1201" i="1"/>
  <c r="M1201" i="1"/>
  <c r="O1200" i="1"/>
  <c r="O1200" i="1" a="1"/>
  <c r="N1200" i="1"/>
  <c r="M1200" i="1"/>
  <c r="O1199" i="1"/>
  <c r="O1199" i="1" a="1"/>
  <c r="N1199" i="1"/>
  <c r="M1199" i="1"/>
  <c r="O1198" i="1"/>
  <c r="O1198" i="1" a="1"/>
  <c r="N1198" i="1"/>
  <c r="M1198" i="1"/>
  <c r="O1197" i="1"/>
  <c r="O1197" i="1" a="1"/>
  <c r="N1197" i="1"/>
  <c r="M1197" i="1"/>
  <c r="O1196" i="1"/>
  <c r="O1196" i="1" a="1"/>
  <c r="N1196" i="1"/>
  <c r="M1196" i="1"/>
  <c r="O1195" i="1"/>
  <c r="O1195" i="1" a="1"/>
  <c r="N1195" i="1"/>
  <c r="M1195" i="1"/>
  <c r="O1194" i="1"/>
  <c r="O1194" i="1" a="1"/>
  <c r="N1194" i="1"/>
  <c r="M1194" i="1"/>
  <c r="O1193" i="1"/>
  <c r="O1193" i="1" a="1"/>
  <c r="N1193" i="1"/>
  <c r="M1193" i="1"/>
  <c r="O1192" i="1"/>
  <c r="O1192" i="1" a="1"/>
  <c r="N1192" i="1"/>
  <c r="M1192" i="1"/>
  <c r="O1191" i="1"/>
  <c r="O1191" i="1" a="1"/>
  <c r="N1191" i="1"/>
  <c r="M1191" i="1"/>
  <c r="O1190" i="1"/>
  <c r="O1190" i="1" a="1"/>
  <c r="N1190" i="1"/>
  <c r="M1190" i="1"/>
  <c r="O1189" i="1"/>
  <c r="O1189" i="1" a="1"/>
  <c r="N1189" i="1"/>
  <c r="M1189" i="1"/>
  <c r="O1188" i="1"/>
  <c r="O1188" i="1" a="1"/>
  <c r="N1188" i="1"/>
  <c r="M1188" i="1"/>
  <c r="O1187" i="1"/>
  <c r="O1187" i="1" a="1"/>
  <c r="N1187" i="1"/>
  <c r="M1187" i="1"/>
  <c r="O1186" i="1"/>
  <c r="O1186" i="1" a="1"/>
  <c r="N1186" i="1"/>
  <c r="M1186" i="1"/>
  <c r="O1185" i="1"/>
  <c r="O1185" i="1" a="1"/>
  <c r="N1185" i="1"/>
  <c r="M1185" i="1"/>
  <c r="O1184" i="1"/>
  <c r="O1184" i="1" a="1"/>
  <c r="N1184" i="1"/>
  <c r="M1184" i="1"/>
  <c r="O1183" i="1"/>
  <c r="O1183" i="1" a="1"/>
  <c r="N1183" i="1"/>
  <c r="M1183" i="1"/>
  <c r="O1182" i="1"/>
  <c r="O1182" i="1" a="1"/>
  <c r="N1182" i="1"/>
  <c r="M1182" i="1"/>
  <c r="O1181" i="1"/>
  <c r="O1181" i="1" a="1"/>
  <c r="N1181" i="1"/>
  <c r="M1181" i="1"/>
  <c r="O1180" i="1"/>
  <c r="O1180" i="1" a="1"/>
  <c r="N1180" i="1"/>
  <c r="M1180" i="1"/>
  <c r="O1179" i="1"/>
  <c r="O1179" i="1" a="1"/>
  <c r="N1179" i="1"/>
  <c r="M1179" i="1"/>
  <c r="O1178" i="1"/>
  <c r="O1178" i="1" a="1"/>
  <c r="N1178" i="1"/>
  <c r="M1178" i="1"/>
  <c r="O1177" i="1"/>
  <c r="O1177" i="1" a="1"/>
  <c r="N1177" i="1"/>
  <c r="M1177" i="1"/>
  <c r="O1176" i="1"/>
  <c r="O1176" i="1" a="1"/>
  <c r="N1176" i="1"/>
  <c r="M1176" i="1"/>
  <c r="O1175" i="1"/>
  <c r="O1175" i="1" a="1"/>
  <c r="N1175" i="1"/>
  <c r="M1175" i="1"/>
  <c r="O1174" i="1"/>
  <c r="O1174" i="1" a="1"/>
  <c r="N1174" i="1"/>
  <c r="M1174" i="1"/>
  <c r="O1173" i="1"/>
  <c r="O1173" i="1" a="1"/>
  <c r="N1173" i="1"/>
  <c r="M1173" i="1"/>
  <c r="O1172" i="1"/>
  <c r="O1172" i="1" a="1"/>
  <c r="N1172" i="1"/>
  <c r="M1172" i="1"/>
  <c r="O1171" i="1"/>
  <c r="O1171" i="1" a="1"/>
  <c r="N1171" i="1"/>
  <c r="M1171" i="1"/>
  <c r="O1170" i="1"/>
  <c r="O1170" i="1" a="1"/>
  <c r="N1170" i="1"/>
  <c r="M1170" i="1"/>
  <c r="O1169" i="1"/>
  <c r="O1169" i="1" a="1"/>
  <c r="N1169" i="1"/>
  <c r="M1169" i="1"/>
  <c r="O1168" i="1"/>
  <c r="O1168" i="1" a="1"/>
  <c r="N1168" i="1"/>
  <c r="M1168" i="1"/>
  <c r="O1167" i="1"/>
  <c r="O1167" i="1" a="1"/>
  <c r="N1167" i="1"/>
  <c r="M1167" i="1"/>
  <c r="O1166" i="1"/>
  <c r="O1166" i="1" a="1"/>
  <c r="N1166" i="1"/>
  <c r="M1166" i="1"/>
  <c r="O1165" i="1"/>
  <c r="O1165" i="1" a="1"/>
  <c r="N1165" i="1"/>
  <c r="M1165" i="1"/>
  <c r="O1164" i="1"/>
  <c r="O1164" i="1" a="1"/>
  <c r="N1164" i="1"/>
  <c r="M1164" i="1"/>
  <c r="O1163" i="1"/>
  <c r="O1163" i="1" a="1"/>
  <c r="N1163" i="1"/>
  <c r="M1163" i="1"/>
  <c r="O1162" i="1"/>
  <c r="O1162" i="1" a="1"/>
  <c r="N1162" i="1"/>
  <c r="M1162" i="1"/>
  <c r="O1161" i="1"/>
  <c r="O1161" i="1" a="1"/>
  <c r="N1161" i="1"/>
  <c r="M1161" i="1"/>
  <c r="O1160" i="1"/>
  <c r="O1160" i="1" a="1"/>
  <c r="N1160" i="1"/>
  <c r="M1160" i="1"/>
  <c r="O1159" i="1"/>
  <c r="O1159" i="1" a="1"/>
  <c r="N1159" i="1"/>
  <c r="M1159" i="1"/>
  <c r="O1158" i="1"/>
  <c r="O1158" i="1" a="1"/>
  <c r="N1158" i="1"/>
  <c r="M1158" i="1"/>
  <c r="O1157" i="1"/>
  <c r="O1157" i="1" a="1"/>
  <c r="N1157" i="1"/>
  <c r="M1157" i="1"/>
  <c r="O1156" i="1"/>
  <c r="O1156" i="1" a="1"/>
  <c r="N1156" i="1"/>
  <c r="M1156" i="1"/>
  <c r="O1155" i="1"/>
  <c r="O1155" i="1" a="1"/>
  <c r="N1155" i="1"/>
  <c r="M1155" i="1"/>
  <c r="O1154" i="1"/>
  <c r="O1154" i="1" a="1"/>
  <c r="N1154" i="1"/>
  <c r="M1154" i="1"/>
  <c r="O1153" i="1"/>
  <c r="O1153" i="1" a="1"/>
  <c r="N1153" i="1"/>
  <c r="M1153" i="1"/>
  <c r="O1152" i="1"/>
  <c r="O1152" i="1" a="1"/>
  <c r="N1152" i="1"/>
  <c r="M1152" i="1"/>
  <c r="O1151" i="1"/>
  <c r="O1151" i="1" a="1"/>
  <c r="N1151" i="1"/>
  <c r="M1151" i="1"/>
  <c r="O1150" i="1"/>
  <c r="O1150" i="1" a="1"/>
  <c r="N1150" i="1"/>
  <c r="M1150" i="1"/>
  <c r="O1149" i="1"/>
  <c r="O1149" i="1" a="1"/>
  <c r="N1149" i="1"/>
  <c r="M1149" i="1"/>
  <c r="O1148" i="1"/>
  <c r="O1148" i="1" a="1"/>
  <c r="N1148" i="1"/>
  <c r="M1148" i="1"/>
  <c r="O1147" i="1"/>
  <c r="O1147" i="1" a="1"/>
  <c r="N1147" i="1"/>
  <c r="M1147" i="1"/>
  <c r="O1146" i="1"/>
  <c r="O1146" i="1" a="1"/>
  <c r="N1146" i="1"/>
  <c r="M1146" i="1"/>
  <c r="O1145" i="1"/>
  <c r="O1145" i="1" a="1"/>
  <c r="N1145" i="1"/>
  <c r="M1145" i="1"/>
  <c r="O1144" i="1"/>
  <c r="O1144" i="1" a="1"/>
  <c r="N1144" i="1"/>
  <c r="M1144" i="1"/>
  <c r="O1143" i="1"/>
  <c r="O1143" i="1" a="1"/>
  <c r="N1143" i="1"/>
  <c r="M1143" i="1"/>
  <c r="O1142" i="1"/>
  <c r="O1142" i="1" a="1"/>
  <c r="N1142" i="1"/>
  <c r="M1142" i="1"/>
  <c r="O1141" i="1"/>
  <c r="O1141" i="1" a="1"/>
  <c r="N1141" i="1"/>
  <c r="M1141" i="1"/>
  <c r="O1140" i="1"/>
  <c r="O1140" i="1" a="1"/>
  <c r="N1140" i="1"/>
  <c r="M1140" i="1"/>
  <c r="O1139" i="1"/>
  <c r="O1139" i="1" a="1"/>
  <c r="N1139" i="1"/>
  <c r="M1139" i="1"/>
  <c r="O1138" i="1"/>
  <c r="O1138" i="1" a="1"/>
  <c r="N1138" i="1"/>
  <c r="M1138" i="1"/>
  <c r="O1137" i="1"/>
  <c r="O1137" i="1" a="1"/>
  <c r="N1137" i="1"/>
  <c r="M1137" i="1"/>
  <c r="O1136" i="1"/>
  <c r="O1136" i="1" a="1"/>
  <c r="N1136" i="1"/>
  <c r="M1136" i="1"/>
  <c r="O1135" i="1"/>
  <c r="O1135" i="1" a="1"/>
  <c r="N1135" i="1"/>
  <c r="M1135" i="1"/>
  <c r="O1134" i="1"/>
  <c r="O1134" i="1" a="1"/>
  <c r="N1134" i="1"/>
  <c r="M1134" i="1"/>
  <c r="O1133" i="1"/>
  <c r="O1133" i="1" a="1"/>
  <c r="N1133" i="1"/>
  <c r="M1133" i="1"/>
  <c r="O1132" i="1"/>
  <c r="O1132" i="1" a="1"/>
  <c r="N1132" i="1"/>
  <c r="M1132" i="1"/>
  <c r="O1131" i="1"/>
  <c r="O1131" i="1" a="1"/>
  <c r="N1131" i="1"/>
  <c r="M1131" i="1"/>
  <c r="O1130" i="1"/>
  <c r="O1130" i="1" a="1"/>
  <c r="N1130" i="1"/>
  <c r="M1130" i="1"/>
  <c r="O1129" i="1"/>
  <c r="O1129" i="1" a="1"/>
  <c r="N1129" i="1"/>
  <c r="M1129" i="1"/>
  <c r="O1128" i="1"/>
  <c r="O1128" i="1" a="1"/>
  <c r="N1128" i="1"/>
  <c r="M1128" i="1"/>
  <c r="O1127" i="1"/>
  <c r="O1127" i="1" a="1"/>
  <c r="N1127" i="1"/>
  <c r="M1127" i="1"/>
  <c r="O1126" i="1"/>
  <c r="O1126" i="1" a="1"/>
  <c r="N1126" i="1"/>
  <c r="M1126" i="1"/>
  <c r="O1125" i="1"/>
  <c r="O1125" i="1" a="1"/>
  <c r="N1125" i="1"/>
  <c r="M1125" i="1"/>
  <c r="O1124" i="1"/>
  <c r="O1124" i="1" a="1"/>
  <c r="N1124" i="1"/>
  <c r="M1124" i="1"/>
  <c r="O1123" i="1"/>
  <c r="O1123" i="1" a="1"/>
  <c r="N1123" i="1"/>
  <c r="M1123" i="1"/>
  <c r="O1122" i="1"/>
  <c r="O1122" i="1" a="1"/>
  <c r="N1122" i="1"/>
  <c r="M1122" i="1"/>
  <c r="O1121" i="1"/>
  <c r="O1121" i="1" a="1"/>
  <c r="N1121" i="1"/>
  <c r="M1121" i="1"/>
  <c r="O1120" i="1"/>
  <c r="O1120" i="1" a="1"/>
  <c r="N1120" i="1"/>
  <c r="M1120" i="1"/>
  <c r="O1119" i="1"/>
  <c r="O1119" i="1" a="1"/>
  <c r="N1119" i="1"/>
  <c r="M1119" i="1"/>
  <c r="O1118" i="1"/>
  <c r="O1118" i="1" a="1"/>
  <c r="N1118" i="1"/>
  <c r="M1118" i="1"/>
  <c r="O1117" i="1"/>
  <c r="O1117" i="1" a="1"/>
  <c r="N1117" i="1"/>
  <c r="M1117" i="1"/>
  <c r="O1116" i="1"/>
  <c r="O1116" i="1" a="1"/>
  <c r="N1116" i="1"/>
  <c r="M1116" i="1"/>
  <c r="O1115" i="1"/>
  <c r="O1115" i="1" a="1"/>
  <c r="N1115" i="1"/>
  <c r="M1115" i="1"/>
  <c r="O1114" i="1"/>
  <c r="O1114" i="1" a="1"/>
  <c r="N1114" i="1"/>
  <c r="M1114" i="1"/>
  <c r="O1113" i="1"/>
  <c r="O1113" i="1" a="1"/>
  <c r="N1113" i="1"/>
  <c r="M1113" i="1"/>
  <c r="O1112" i="1"/>
  <c r="O1112" i="1" a="1"/>
  <c r="N1112" i="1"/>
  <c r="M1112" i="1"/>
  <c r="O1111" i="1"/>
  <c r="O1111" i="1" a="1"/>
  <c r="N1111" i="1"/>
  <c r="M1111" i="1"/>
  <c r="O1110" i="1"/>
  <c r="O1110" i="1" a="1"/>
  <c r="N1110" i="1"/>
  <c r="M1110" i="1"/>
  <c r="O1109" i="1"/>
  <c r="O1109" i="1" a="1"/>
  <c r="N1109" i="1"/>
  <c r="M1109" i="1"/>
  <c r="O1108" i="1"/>
  <c r="O1108" i="1" a="1"/>
  <c r="N1108" i="1"/>
  <c r="M1108" i="1"/>
  <c r="O1107" i="1"/>
  <c r="O1107" i="1" a="1"/>
  <c r="N1107" i="1"/>
  <c r="M1107" i="1"/>
  <c r="O1106" i="1"/>
  <c r="O1106" i="1" a="1"/>
  <c r="N1106" i="1"/>
  <c r="M1106" i="1"/>
  <c r="O1105" i="1"/>
  <c r="O1105" i="1" a="1"/>
  <c r="N1105" i="1"/>
  <c r="M1105" i="1"/>
  <c r="O1104" i="1"/>
  <c r="O1104" i="1" a="1"/>
  <c r="N1104" i="1"/>
  <c r="M1104" i="1"/>
  <c r="O1103" i="1"/>
  <c r="O1103" i="1" a="1"/>
  <c r="N1103" i="1"/>
  <c r="M1103" i="1"/>
  <c r="O1102" i="1"/>
  <c r="O1102" i="1" a="1"/>
  <c r="N1102" i="1"/>
  <c r="M1102" i="1"/>
  <c r="O1101" i="1"/>
  <c r="O1101" i="1" a="1"/>
  <c r="N1101" i="1"/>
  <c r="M1101" i="1"/>
  <c r="O1100" i="1"/>
  <c r="O1100" i="1" a="1"/>
  <c r="N1100" i="1"/>
  <c r="M1100" i="1"/>
  <c r="O1099" i="1"/>
  <c r="O1099" i="1" a="1"/>
  <c r="N1099" i="1"/>
  <c r="M1099" i="1"/>
  <c r="O1098" i="1"/>
  <c r="O1098" i="1" a="1"/>
  <c r="N1098" i="1"/>
  <c r="M1098" i="1"/>
  <c r="O1097" i="1"/>
  <c r="O1097" i="1" a="1"/>
  <c r="N1097" i="1"/>
  <c r="M1097" i="1"/>
  <c r="O1096" i="1"/>
  <c r="O1096" i="1" a="1"/>
  <c r="N1096" i="1"/>
  <c r="M1096" i="1"/>
  <c r="O1095" i="1"/>
  <c r="O1095" i="1" a="1"/>
  <c r="N1095" i="1"/>
  <c r="M1095" i="1"/>
  <c r="O1094" i="1"/>
  <c r="O1094" i="1" a="1"/>
  <c r="N1094" i="1"/>
  <c r="M1094" i="1"/>
  <c r="O1093" i="1"/>
  <c r="O1093" i="1" a="1"/>
  <c r="N1093" i="1"/>
  <c r="M1093" i="1"/>
  <c r="O1092" i="1"/>
  <c r="O1092" i="1" a="1"/>
  <c r="N1092" i="1"/>
  <c r="M1092" i="1"/>
  <c r="O1091" i="1"/>
  <c r="O1091" i="1" a="1"/>
  <c r="N1091" i="1"/>
  <c r="M1091" i="1"/>
  <c r="O1090" i="1"/>
  <c r="O1090" i="1" a="1"/>
  <c r="N1090" i="1"/>
  <c r="M1090" i="1"/>
  <c r="O1089" i="1"/>
  <c r="O1089" i="1" a="1"/>
  <c r="N1089" i="1"/>
  <c r="M1089" i="1"/>
  <c r="O1088" i="1"/>
  <c r="O1088" i="1" a="1"/>
  <c r="N1088" i="1"/>
  <c r="M1088" i="1"/>
  <c r="O1087" i="1"/>
  <c r="O1087" i="1" a="1"/>
  <c r="N1087" i="1"/>
  <c r="M1087" i="1"/>
  <c r="O1086" i="1"/>
  <c r="O1086" i="1" a="1"/>
  <c r="N1086" i="1"/>
  <c r="M1086" i="1"/>
  <c r="O1085" i="1"/>
  <c r="O1085" i="1" a="1"/>
  <c r="N1085" i="1"/>
  <c r="M1085" i="1"/>
  <c r="O1084" i="1"/>
  <c r="O1084" i="1" a="1"/>
  <c r="N1084" i="1"/>
  <c r="M1084" i="1"/>
  <c r="O1083" i="1"/>
  <c r="O1083" i="1" a="1"/>
  <c r="N1083" i="1"/>
  <c r="M1083" i="1"/>
  <c r="O1082" i="1"/>
  <c r="O1082" i="1" a="1"/>
  <c r="N1082" i="1"/>
  <c r="M1082" i="1"/>
  <c r="O1081" i="1"/>
  <c r="O1081" i="1" a="1"/>
  <c r="N1081" i="1"/>
  <c r="M1081" i="1"/>
  <c r="O1080" i="1"/>
  <c r="O1080" i="1" a="1"/>
  <c r="N1080" i="1"/>
  <c r="M1080" i="1"/>
  <c r="O1079" i="1"/>
  <c r="O1079" i="1" a="1"/>
  <c r="N1079" i="1"/>
  <c r="M1079" i="1"/>
  <c r="O1078" i="1"/>
  <c r="O1078" i="1" a="1"/>
  <c r="N1078" i="1"/>
  <c r="M1078" i="1"/>
  <c r="O1077" i="1"/>
  <c r="O1077" i="1" a="1"/>
  <c r="N1077" i="1"/>
  <c r="M1077" i="1"/>
  <c r="O1076" i="1"/>
  <c r="O1076" i="1" a="1"/>
  <c r="N1076" i="1"/>
  <c r="M1076" i="1"/>
  <c r="O1075" i="1"/>
  <c r="O1075" i="1" a="1"/>
  <c r="N1075" i="1"/>
  <c r="M1075" i="1"/>
  <c r="O1074" i="1"/>
  <c r="O1074" i="1" a="1"/>
  <c r="N1074" i="1"/>
  <c r="M1074" i="1"/>
  <c r="O1073" i="1"/>
  <c r="O1073" i="1" a="1"/>
  <c r="N1073" i="1"/>
  <c r="M1073" i="1"/>
  <c r="O1072" i="1"/>
  <c r="O1072" i="1" a="1"/>
  <c r="N1072" i="1"/>
  <c r="M1072" i="1"/>
  <c r="O1071" i="1"/>
  <c r="O1071" i="1" a="1"/>
  <c r="N1071" i="1"/>
  <c r="M1071" i="1"/>
  <c r="O1070" i="1"/>
  <c r="O1070" i="1" a="1"/>
  <c r="N1070" i="1"/>
  <c r="M1070" i="1"/>
  <c r="O1069" i="1"/>
  <c r="O1069" i="1" a="1"/>
  <c r="N1069" i="1"/>
  <c r="M1069" i="1"/>
  <c r="O1068" i="1"/>
  <c r="O1068" i="1" a="1"/>
  <c r="N1068" i="1"/>
  <c r="M1068" i="1"/>
  <c r="O1067" i="1"/>
  <c r="O1067" i="1" a="1"/>
  <c r="N1067" i="1"/>
  <c r="M1067" i="1"/>
  <c r="O1066" i="1"/>
  <c r="O1066" i="1" a="1"/>
  <c r="N1066" i="1"/>
  <c r="M1066" i="1"/>
  <c r="O1065" i="1"/>
  <c r="O1065" i="1" a="1"/>
  <c r="N1065" i="1"/>
  <c r="M1065" i="1"/>
  <c r="O1064" i="1"/>
  <c r="O1064" i="1" a="1"/>
  <c r="N1064" i="1"/>
  <c r="M1064" i="1"/>
  <c r="O1063" i="1"/>
  <c r="O1063" i="1" a="1"/>
  <c r="N1063" i="1"/>
  <c r="M1063" i="1"/>
  <c r="O1062" i="1"/>
  <c r="O1062" i="1" a="1"/>
  <c r="N1062" i="1"/>
  <c r="M1062" i="1"/>
  <c r="O1061" i="1"/>
  <c r="O1061" i="1" a="1"/>
  <c r="N1061" i="1"/>
  <c r="M1061" i="1"/>
  <c r="O1060" i="1"/>
  <c r="O1060" i="1" a="1"/>
  <c r="N1060" i="1"/>
  <c r="M1060" i="1"/>
  <c r="O1059" i="1"/>
  <c r="O1059" i="1" a="1"/>
  <c r="N1059" i="1"/>
  <c r="M1059" i="1"/>
  <c r="O1058" i="1"/>
  <c r="O1058" i="1" a="1"/>
  <c r="N1058" i="1"/>
  <c r="M1058" i="1"/>
  <c r="O1057" i="1"/>
  <c r="O1057" i="1" a="1"/>
  <c r="N1057" i="1"/>
  <c r="M1057" i="1"/>
  <c r="O1056" i="1"/>
  <c r="O1056" i="1" a="1"/>
  <c r="N1056" i="1"/>
  <c r="M1056" i="1"/>
  <c r="O1055" i="1"/>
  <c r="O1055" i="1" a="1"/>
  <c r="N1055" i="1"/>
  <c r="M1055" i="1"/>
  <c r="O1054" i="1"/>
  <c r="O1054" i="1" a="1"/>
  <c r="N1054" i="1"/>
  <c r="M1054" i="1"/>
  <c r="O1053" i="1"/>
  <c r="O1053" i="1" a="1"/>
  <c r="N1053" i="1"/>
  <c r="M1053" i="1"/>
  <c r="O1052" i="1"/>
  <c r="O1052" i="1" a="1"/>
  <c r="N1052" i="1"/>
  <c r="M1052" i="1"/>
  <c r="O1051" i="1"/>
  <c r="O1051" i="1" a="1"/>
  <c r="N1051" i="1"/>
  <c r="M1051" i="1"/>
  <c r="O1050" i="1"/>
  <c r="O1050" i="1" a="1"/>
  <c r="N1050" i="1"/>
  <c r="M1050" i="1"/>
  <c r="O1049" i="1"/>
  <c r="O1049" i="1" a="1"/>
  <c r="N1049" i="1"/>
  <c r="M1049" i="1"/>
  <c r="O1048" i="1"/>
  <c r="O1048" i="1" a="1"/>
  <c r="N1048" i="1"/>
  <c r="M1048" i="1"/>
  <c r="O1047" i="1"/>
  <c r="O1047" i="1" a="1"/>
  <c r="N1047" i="1"/>
  <c r="M1047" i="1"/>
  <c r="O1046" i="1"/>
  <c r="O1046" i="1" a="1"/>
  <c r="N1046" i="1"/>
  <c r="M1046" i="1"/>
  <c r="O1045" i="1"/>
  <c r="O1045" i="1" a="1"/>
  <c r="N1045" i="1"/>
  <c r="M1045" i="1"/>
  <c r="O1044" i="1"/>
  <c r="O1044" i="1" a="1"/>
  <c r="N1044" i="1"/>
  <c r="M1044" i="1"/>
  <c r="O1043" i="1"/>
  <c r="O1043" i="1" a="1"/>
  <c r="N1043" i="1"/>
  <c r="M1043" i="1"/>
  <c r="O1042" i="1"/>
  <c r="O1042" i="1" a="1"/>
  <c r="N1042" i="1"/>
  <c r="M1042" i="1"/>
  <c r="O1041" i="1"/>
  <c r="O1041" i="1" a="1"/>
  <c r="N1041" i="1"/>
  <c r="M1041" i="1"/>
  <c r="O1040" i="1"/>
  <c r="O1040" i="1" a="1"/>
  <c r="N1040" i="1"/>
  <c r="M1040" i="1"/>
  <c r="O1039" i="1"/>
  <c r="O1039" i="1" a="1"/>
  <c r="N1039" i="1"/>
  <c r="M1039" i="1"/>
  <c r="O1038" i="1"/>
  <c r="O1038" i="1" a="1"/>
  <c r="N1038" i="1"/>
  <c r="M1038" i="1"/>
  <c r="O1037" i="1"/>
  <c r="O1037" i="1" a="1"/>
  <c r="N1037" i="1"/>
  <c r="M1037" i="1"/>
  <c r="O1036" i="1"/>
  <c r="O1036" i="1" a="1"/>
  <c r="N1036" i="1"/>
  <c r="M1036" i="1"/>
  <c r="O1035" i="1"/>
  <c r="O1035" i="1" a="1"/>
  <c r="N1035" i="1"/>
  <c r="M1035" i="1"/>
  <c r="O1034" i="1"/>
  <c r="O1034" i="1" a="1"/>
  <c r="N1034" i="1"/>
  <c r="M1034" i="1"/>
  <c r="O1033" i="1"/>
  <c r="O1033" i="1" a="1"/>
  <c r="N1033" i="1"/>
  <c r="M1033" i="1"/>
  <c r="O1032" i="1"/>
  <c r="O1032" i="1" a="1"/>
  <c r="N1032" i="1"/>
  <c r="M1032" i="1"/>
  <c r="O1031" i="1"/>
  <c r="O1031" i="1" a="1"/>
  <c r="N1031" i="1"/>
  <c r="M1031" i="1"/>
  <c r="O1030" i="1"/>
  <c r="O1030" i="1" a="1"/>
  <c r="N1030" i="1"/>
  <c r="M1030" i="1"/>
  <c r="O1029" i="1"/>
  <c r="O1029" i="1" a="1"/>
  <c r="N1029" i="1"/>
  <c r="M1029" i="1"/>
  <c r="O1028" i="1"/>
  <c r="O1028" i="1" a="1"/>
  <c r="N1028" i="1"/>
  <c r="M1028" i="1"/>
  <c r="O1027" i="1"/>
  <c r="O1027" i="1" a="1"/>
  <c r="N1027" i="1"/>
  <c r="M1027" i="1"/>
  <c r="O1026" i="1"/>
  <c r="O1026" i="1" a="1"/>
  <c r="N1026" i="1"/>
  <c r="M1026" i="1"/>
  <c r="O1025" i="1"/>
  <c r="O1025" i="1" a="1"/>
  <c r="N1025" i="1"/>
  <c r="M1025" i="1"/>
  <c r="O1024" i="1"/>
  <c r="O1024" i="1" a="1"/>
  <c r="N1024" i="1"/>
  <c r="M1024" i="1"/>
  <c r="O1023" i="1"/>
  <c r="O1023" i="1" a="1"/>
  <c r="N1023" i="1"/>
  <c r="M1023" i="1"/>
  <c r="O1022" i="1"/>
  <c r="O1022" i="1" a="1"/>
  <c r="N1022" i="1"/>
  <c r="M1022" i="1"/>
  <c r="O1021" i="1"/>
  <c r="O1021" i="1" a="1"/>
  <c r="N1021" i="1"/>
  <c r="M1021" i="1"/>
  <c r="O1020" i="1"/>
  <c r="O1020" i="1" a="1"/>
  <c r="N1020" i="1"/>
  <c r="M1020" i="1"/>
  <c r="O1019" i="1"/>
  <c r="O1019" i="1" a="1"/>
  <c r="N1019" i="1"/>
  <c r="M1019" i="1"/>
  <c r="O1018" i="1"/>
  <c r="O1018" i="1" a="1"/>
  <c r="N1018" i="1"/>
  <c r="M1018" i="1"/>
  <c r="O1017" i="1"/>
  <c r="O1017" i="1" a="1"/>
  <c r="N1017" i="1"/>
  <c r="M1017" i="1"/>
  <c r="O1016" i="1"/>
  <c r="O1016" i="1" a="1"/>
  <c r="N1016" i="1"/>
  <c r="M1016" i="1"/>
  <c r="O1015" i="1"/>
  <c r="O1015" i="1" a="1"/>
  <c r="N1015" i="1"/>
  <c r="M1015" i="1"/>
  <c r="O1014" i="1"/>
  <c r="O1014" i="1" a="1"/>
  <c r="N1014" i="1"/>
  <c r="M1014" i="1"/>
  <c r="O1013" i="1"/>
  <c r="O1013" i="1" a="1"/>
  <c r="N1013" i="1"/>
  <c r="M1013" i="1"/>
  <c r="O1012" i="1"/>
  <c r="O1012" i="1" a="1"/>
  <c r="N1012" i="1"/>
  <c r="M1012" i="1"/>
  <c r="O1011" i="1"/>
  <c r="O1011" i="1" a="1"/>
  <c r="N1011" i="1"/>
  <c r="M1011" i="1"/>
  <c r="O1010" i="1"/>
  <c r="O1010" i="1" a="1"/>
  <c r="N1010" i="1"/>
  <c r="M1010" i="1"/>
  <c r="O1009" i="1"/>
  <c r="O1009" i="1" a="1"/>
  <c r="N1009" i="1"/>
  <c r="M1009" i="1"/>
  <c r="O1008" i="1"/>
  <c r="O1008" i="1" a="1"/>
  <c r="N1008" i="1"/>
  <c r="M1008" i="1"/>
  <c r="O1007" i="1"/>
  <c r="O1007" i="1" a="1"/>
  <c r="N1007" i="1"/>
  <c r="M1007" i="1"/>
  <c r="O1006" i="1"/>
  <c r="O1006" i="1" a="1"/>
  <c r="N1006" i="1"/>
  <c r="M1006" i="1"/>
  <c r="O1005" i="1"/>
  <c r="O1005" i="1" a="1"/>
  <c r="N1005" i="1"/>
  <c r="M1005" i="1"/>
  <c r="O1004" i="1"/>
  <c r="O1004" i="1" a="1"/>
  <c r="N1004" i="1"/>
  <c r="M1004" i="1"/>
  <c r="O1003" i="1"/>
  <c r="O1003" i="1" a="1"/>
  <c r="N1003" i="1"/>
  <c r="M1003" i="1"/>
  <c r="O1002" i="1"/>
  <c r="O1002" i="1" a="1"/>
  <c r="N1002" i="1"/>
  <c r="M1002" i="1"/>
  <c r="O1001" i="1"/>
  <c r="O1001" i="1" a="1"/>
  <c r="N1001" i="1"/>
  <c r="M1001" i="1"/>
  <c r="O1000" i="1"/>
  <c r="O1000" i="1" a="1"/>
  <c r="N1000" i="1"/>
  <c r="M1000" i="1"/>
  <c r="O999" i="1"/>
  <c r="O999" i="1" a="1"/>
  <c r="N999" i="1"/>
  <c r="M999" i="1"/>
  <c r="O998" i="1"/>
  <c r="O998" i="1" a="1"/>
  <c r="N998" i="1"/>
  <c r="M998" i="1"/>
  <c r="O997" i="1"/>
  <c r="O997" i="1" a="1"/>
  <c r="N997" i="1"/>
  <c r="M997" i="1"/>
  <c r="O996" i="1"/>
  <c r="O996" i="1" a="1"/>
  <c r="N996" i="1"/>
  <c r="M996" i="1"/>
  <c r="O995" i="1"/>
  <c r="O995" i="1" a="1"/>
  <c r="N995" i="1"/>
  <c r="M995" i="1"/>
  <c r="O994" i="1"/>
  <c r="O994" i="1" a="1"/>
  <c r="N994" i="1"/>
  <c r="M994" i="1"/>
  <c r="O993" i="1"/>
  <c r="O993" i="1" a="1"/>
  <c r="N993" i="1"/>
  <c r="M993" i="1"/>
  <c r="O992" i="1"/>
  <c r="O992" i="1" a="1"/>
  <c r="N992" i="1"/>
  <c r="M992" i="1"/>
  <c r="O991" i="1"/>
  <c r="O991" i="1" a="1"/>
  <c r="N991" i="1"/>
  <c r="M991" i="1"/>
  <c r="O990" i="1"/>
  <c r="O990" i="1" a="1"/>
  <c r="N990" i="1"/>
  <c r="M990" i="1"/>
  <c r="O989" i="1"/>
  <c r="O989" i="1" a="1"/>
  <c r="N989" i="1"/>
  <c r="M989" i="1"/>
  <c r="O988" i="1"/>
  <c r="O988" i="1" a="1"/>
  <c r="N988" i="1"/>
  <c r="M988" i="1"/>
  <c r="O987" i="1"/>
  <c r="O987" i="1" a="1"/>
  <c r="N987" i="1"/>
  <c r="M987" i="1"/>
  <c r="O986" i="1"/>
  <c r="O986" i="1" a="1"/>
  <c r="N986" i="1"/>
  <c r="M986" i="1"/>
  <c r="O985" i="1"/>
  <c r="O985" i="1" a="1"/>
  <c r="N985" i="1"/>
  <c r="M985" i="1"/>
  <c r="O984" i="1"/>
  <c r="O984" i="1" a="1"/>
  <c r="N984" i="1"/>
  <c r="M984" i="1"/>
  <c r="O983" i="1"/>
  <c r="O983" i="1" a="1"/>
  <c r="N983" i="1"/>
  <c r="M983" i="1"/>
  <c r="O982" i="1"/>
  <c r="O982" i="1" a="1"/>
  <c r="N982" i="1"/>
  <c r="M982" i="1"/>
  <c r="O981" i="1"/>
  <c r="O981" i="1" a="1"/>
  <c r="N981" i="1"/>
  <c r="M981" i="1"/>
  <c r="O980" i="1"/>
  <c r="O980" i="1" a="1"/>
  <c r="N980" i="1"/>
  <c r="M980" i="1"/>
  <c r="O979" i="1"/>
  <c r="O979" i="1" a="1"/>
  <c r="N979" i="1"/>
  <c r="M979" i="1"/>
  <c r="O978" i="1"/>
  <c r="O978" i="1" a="1"/>
  <c r="N978" i="1"/>
  <c r="M978" i="1"/>
  <c r="O977" i="1"/>
  <c r="O977" i="1" a="1"/>
  <c r="N977" i="1"/>
  <c r="M977" i="1"/>
  <c r="O976" i="1"/>
  <c r="O976" i="1" a="1"/>
  <c r="N976" i="1"/>
  <c r="M976" i="1"/>
  <c r="O975" i="1"/>
  <c r="O975" i="1" a="1"/>
  <c r="N975" i="1"/>
  <c r="M975" i="1"/>
  <c r="O974" i="1"/>
  <c r="O974" i="1" a="1"/>
  <c r="N974" i="1"/>
  <c r="M974" i="1"/>
  <c r="O973" i="1"/>
  <c r="O973" i="1" a="1"/>
  <c r="N973" i="1"/>
  <c r="M973" i="1"/>
  <c r="O972" i="1"/>
  <c r="O972" i="1" a="1"/>
  <c r="N972" i="1"/>
  <c r="M972" i="1"/>
  <c r="O971" i="1"/>
  <c r="O971" i="1" a="1"/>
  <c r="N971" i="1"/>
  <c r="M971" i="1"/>
  <c r="O970" i="1"/>
  <c r="O970" i="1" a="1"/>
  <c r="N970" i="1"/>
  <c r="M970" i="1"/>
  <c r="O969" i="1"/>
  <c r="O969" i="1" a="1"/>
  <c r="N969" i="1"/>
  <c r="M969" i="1"/>
  <c r="O968" i="1"/>
  <c r="O968" i="1" a="1"/>
  <c r="N968" i="1"/>
  <c r="M968" i="1"/>
  <c r="O967" i="1"/>
  <c r="O967" i="1" a="1"/>
  <c r="N967" i="1"/>
  <c r="M967" i="1"/>
  <c r="O966" i="1"/>
  <c r="O966" i="1" a="1"/>
  <c r="N966" i="1"/>
  <c r="M966" i="1"/>
  <c r="O965" i="1"/>
  <c r="O965" i="1" a="1"/>
  <c r="N965" i="1"/>
  <c r="M965" i="1"/>
  <c r="O964" i="1"/>
  <c r="O964" i="1" a="1"/>
  <c r="N964" i="1"/>
  <c r="M964" i="1"/>
  <c r="O963" i="1"/>
  <c r="O963" i="1" a="1"/>
  <c r="N963" i="1"/>
  <c r="M963" i="1"/>
  <c r="O962" i="1"/>
  <c r="O962" i="1" a="1"/>
  <c r="N962" i="1"/>
  <c r="M962" i="1"/>
  <c r="O961" i="1"/>
  <c r="O961" i="1" a="1"/>
  <c r="N961" i="1"/>
  <c r="M961" i="1"/>
  <c r="O960" i="1"/>
  <c r="O960" i="1" a="1"/>
  <c r="N960" i="1"/>
  <c r="M960" i="1"/>
  <c r="O959" i="1"/>
  <c r="O959" i="1" a="1"/>
  <c r="N959" i="1"/>
  <c r="M959" i="1"/>
  <c r="O958" i="1"/>
  <c r="O958" i="1" a="1"/>
  <c r="N958" i="1"/>
  <c r="M958" i="1"/>
  <c r="O957" i="1"/>
  <c r="O957" i="1" a="1"/>
  <c r="N957" i="1"/>
  <c r="M957" i="1"/>
  <c r="O956" i="1"/>
  <c r="O956" i="1" a="1"/>
  <c r="N956" i="1"/>
  <c r="M956" i="1"/>
  <c r="O955" i="1"/>
  <c r="O955" i="1" a="1"/>
  <c r="N955" i="1"/>
  <c r="M955" i="1"/>
  <c r="O954" i="1"/>
  <c r="O954" i="1" a="1"/>
  <c r="N954" i="1"/>
  <c r="M954" i="1"/>
  <c r="O953" i="1"/>
  <c r="O953" i="1" a="1"/>
  <c r="N953" i="1"/>
  <c r="M953" i="1"/>
  <c r="O952" i="1"/>
  <c r="O952" i="1" a="1"/>
  <c r="N952" i="1"/>
  <c r="M952" i="1"/>
  <c r="O951" i="1"/>
  <c r="O951" i="1" a="1"/>
  <c r="N951" i="1"/>
  <c r="M951" i="1"/>
  <c r="O950" i="1"/>
  <c r="O950" i="1" a="1"/>
  <c r="N950" i="1"/>
  <c r="M950" i="1"/>
  <c r="O949" i="1"/>
  <c r="O949" i="1" a="1"/>
  <c r="N949" i="1"/>
  <c r="M949" i="1"/>
  <c r="O948" i="1"/>
  <c r="O948" i="1" a="1"/>
  <c r="N948" i="1"/>
  <c r="M948" i="1"/>
  <c r="O947" i="1"/>
  <c r="O947" i="1" a="1"/>
  <c r="N947" i="1"/>
  <c r="M947" i="1"/>
  <c r="O946" i="1"/>
  <c r="O946" i="1" a="1"/>
  <c r="N946" i="1"/>
  <c r="M946" i="1"/>
  <c r="O945" i="1"/>
  <c r="O945" i="1" a="1"/>
  <c r="N945" i="1"/>
  <c r="M945" i="1"/>
  <c r="O944" i="1"/>
  <c r="O944" i="1" a="1"/>
  <c r="N944" i="1"/>
  <c r="M944" i="1"/>
  <c r="O943" i="1"/>
  <c r="O943" i="1" a="1"/>
  <c r="N943" i="1"/>
  <c r="M943" i="1"/>
  <c r="O942" i="1"/>
  <c r="O942" i="1" a="1"/>
  <c r="N942" i="1"/>
  <c r="M942" i="1"/>
  <c r="O941" i="1"/>
  <c r="O941" i="1" a="1"/>
  <c r="N941" i="1"/>
  <c r="M941" i="1"/>
  <c r="O940" i="1"/>
  <c r="O940" i="1" a="1"/>
  <c r="N940" i="1"/>
  <c r="M940" i="1"/>
  <c r="O939" i="1"/>
  <c r="O939" i="1" a="1"/>
  <c r="N939" i="1"/>
  <c r="M939" i="1"/>
  <c r="O938" i="1"/>
  <c r="O938" i="1" a="1"/>
  <c r="N938" i="1"/>
  <c r="M938" i="1"/>
  <c r="O937" i="1"/>
  <c r="O937" i="1" a="1"/>
  <c r="N937" i="1"/>
  <c r="M937" i="1"/>
  <c r="O936" i="1"/>
  <c r="O936" i="1" a="1"/>
  <c r="N936" i="1"/>
  <c r="M936" i="1"/>
  <c r="O935" i="1"/>
  <c r="O935" i="1" a="1"/>
  <c r="N935" i="1"/>
  <c r="M935" i="1"/>
  <c r="O934" i="1"/>
  <c r="O934" i="1" a="1"/>
  <c r="N934" i="1"/>
  <c r="M934" i="1"/>
  <c r="O933" i="1"/>
  <c r="O933" i="1" a="1"/>
  <c r="N933" i="1"/>
  <c r="M933" i="1"/>
  <c r="O932" i="1"/>
  <c r="O932" i="1" a="1"/>
  <c r="N932" i="1"/>
  <c r="M932" i="1"/>
  <c r="O931" i="1"/>
  <c r="O931" i="1" a="1"/>
  <c r="N931" i="1"/>
  <c r="M931" i="1"/>
  <c r="O930" i="1"/>
  <c r="O930" i="1" a="1"/>
  <c r="N930" i="1"/>
  <c r="M930" i="1"/>
  <c r="O929" i="1"/>
  <c r="O929" i="1" a="1"/>
  <c r="N929" i="1"/>
  <c r="M929" i="1"/>
  <c r="O928" i="1"/>
  <c r="O928" i="1" a="1"/>
  <c r="N928" i="1"/>
  <c r="M928" i="1"/>
  <c r="O927" i="1"/>
  <c r="O927" i="1" a="1"/>
  <c r="N927" i="1"/>
  <c r="M927" i="1"/>
  <c r="O926" i="1"/>
  <c r="O926" i="1" a="1"/>
  <c r="N926" i="1"/>
  <c r="M926" i="1"/>
  <c r="O925" i="1"/>
  <c r="O925" i="1" a="1"/>
  <c r="N925" i="1"/>
  <c r="M925" i="1"/>
  <c r="O924" i="1"/>
  <c r="O924" i="1" a="1"/>
  <c r="N924" i="1"/>
  <c r="M924" i="1"/>
  <c r="O923" i="1"/>
  <c r="O923" i="1" a="1"/>
  <c r="N923" i="1"/>
  <c r="M923" i="1"/>
  <c r="O922" i="1"/>
  <c r="O922" i="1" a="1"/>
  <c r="N922" i="1"/>
  <c r="M922" i="1"/>
  <c r="O921" i="1"/>
  <c r="O921" i="1" a="1"/>
  <c r="N921" i="1"/>
  <c r="M921" i="1"/>
  <c r="O920" i="1"/>
  <c r="O920" i="1" a="1"/>
  <c r="N920" i="1"/>
  <c r="M920" i="1"/>
  <c r="O919" i="1"/>
  <c r="O919" i="1" a="1"/>
  <c r="N919" i="1"/>
  <c r="M919" i="1"/>
  <c r="O918" i="1"/>
  <c r="O918" i="1" a="1"/>
  <c r="N918" i="1"/>
  <c r="M918" i="1"/>
  <c r="O917" i="1"/>
  <c r="O917" i="1" a="1"/>
  <c r="N917" i="1"/>
  <c r="M917" i="1"/>
  <c r="O916" i="1"/>
  <c r="O916" i="1" a="1"/>
  <c r="N916" i="1"/>
  <c r="M916" i="1"/>
  <c r="O915" i="1"/>
  <c r="O915" i="1" a="1"/>
  <c r="N915" i="1"/>
  <c r="M915" i="1"/>
  <c r="O914" i="1"/>
  <c r="O914" i="1" a="1"/>
  <c r="N914" i="1"/>
  <c r="M914" i="1"/>
  <c r="O913" i="1"/>
  <c r="O913" i="1" a="1"/>
  <c r="N913" i="1"/>
  <c r="M913" i="1"/>
  <c r="O912" i="1"/>
  <c r="O912" i="1" a="1"/>
  <c r="N912" i="1"/>
  <c r="M912" i="1"/>
  <c r="O911" i="1"/>
  <c r="O911" i="1" a="1"/>
  <c r="N911" i="1"/>
  <c r="M911" i="1"/>
  <c r="O910" i="1"/>
  <c r="O910" i="1" a="1"/>
  <c r="N910" i="1"/>
  <c r="M910" i="1"/>
  <c r="O909" i="1"/>
  <c r="O909" i="1" a="1"/>
  <c r="N909" i="1"/>
  <c r="M909" i="1"/>
  <c r="O908" i="1"/>
  <c r="O908" i="1" a="1"/>
  <c r="N908" i="1"/>
  <c r="M908" i="1"/>
  <c r="O907" i="1"/>
  <c r="O907" i="1" a="1"/>
  <c r="N907" i="1"/>
  <c r="M907" i="1"/>
  <c r="O906" i="1"/>
  <c r="O906" i="1" a="1"/>
  <c r="N906" i="1"/>
  <c r="M906" i="1"/>
  <c r="O905" i="1"/>
  <c r="O905" i="1" a="1"/>
  <c r="N905" i="1"/>
  <c r="M905" i="1"/>
  <c r="O904" i="1"/>
  <c r="O904" i="1" a="1"/>
  <c r="N904" i="1"/>
  <c r="M904" i="1"/>
  <c r="O903" i="1"/>
  <c r="O903" i="1" a="1"/>
  <c r="N903" i="1"/>
  <c r="M903" i="1"/>
  <c r="O902" i="1"/>
  <c r="O902" i="1" a="1"/>
  <c r="N902" i="1"/>
  <c r="M902" i="1"/>
  <c r="O901" i="1"/>
  <c r="O901" i="1" a="1"/>
  <c r="N901" i="1"/>
  <c r="M901" i="1"/>
  <c r="O900" i="1"/>
  <c r="O900" i="1" a="1"/>
  <c r="N900" i="1"/>
  <c r="M900" i="1"/>
  <c r="O899" i="1"/>
  <c r="O899" i="1" a="1"/>
  <c r="N899" i="1"/>
  <c r="M899" i="1"/>
  <c r="O898" i="1"/>
  <c r="O898" i="1" a="1"/>
  <c r="N898" i="1"/>
  <c r="M898" i="1"/>
  <c r="O897" i="1"/>
  <c r="O897" i="1" a="1"/>
  <c r="N897" i="1"/>
  <c r="M897" i="1"/>
  <c r="O896" i="1"/>
  <c r="O896" i="1" a="1"/>
  <c r="N896" i="1"/>
  <c r="M896" i="1"/>
  <c r="O895" i="1"/>
  <c r="O895" i="1" a="1"/>
  <c r="N895" i="1"/>
  <c r="M895" i="1"/>
  <c r="O894" i="1"/>
  <c r="O894" i="1" a="1"/>
  <c r="N894" i="1"/>
  <c r="M894" i="1"/>
  <c r="O893" i="1"/>
  <c r="O893" i="1" a="1"/>
  <c r="N893" i="1"/>
  <c r="M893" i="1"/>
  <c r="O892" i="1"/>
  <c r="O892" i="1" a="1"/>
  <c r="N892" i="1"/>
  <c r="M892" i="1"/>
  <c r="O891" i="1"/>
  <c r="O891" i="1" a="1"/>
  <c r="N891" i="1"/>
  <c r="M891" i="1"/>
  <c r="O890" i="1"/>
  <c r="O890" i="1" a="1"/>
  <c r="N890" i="1"/>
  <c r="M890" i="1"/>
  <c r="O889" i="1"/>
  <c r="O889" i="1" a="1"/>
  <c r="N889" i="1"/>
  <c r="M889" i="1"/>
  <c r="O888" i="1"/>
  <c r="O888" i="1" a="1"/>
  <c r="N888" i="1"/>
  <c r="M888" i="1"/>
  <c r="O887" i="1"/>
  <c r="O887" i="1" a="1"/>
  <c r="N887" i="1"/>
  <c r="M887" i="1"/>
  <c r="O886" i="1"/>
  <c r="O886" i="1" a="1"/>
  <c r="N886" i="1"/>
  <c r="M886" i="1"/>
  <c r="O885" i="1"/>
  <c r="O885" i="1" a="1"/>
  <c r="N885" i="1"/>
  <c r="M885" i="1"/>
  <c r="O884" i="1"/>
  <c r="O884" i="1" a="1"/>
  <c r="N884" i="1"/>
  <c r="M884" i="1"/>
  <c r="O883" i="1"/>
  <c r="O883" i="1" a="1"/>
  <c r="N883" i="1"/>
  <c r="M883" i="1"/>
  <c r="O882" i="1"/>
  <c r="O882" i="1" a="1"/>
  <c r="N882" i="1"/>
  <c r="M882" i="1"/>
  <c r="O881" i="1"/>
  <c r="O881" i="1" a="1"/>
  <c r="N881" i="1"/>
  <c r="M881" i="1"/>
  <c r="O880" i="1"/>
  <c r="O880" i="1" a="1"/>
  <c r="N880" i="1"/>
  <c r="M880" i="1"/>
  <c r="O879" i="1"/>
  <c r="O879" i="1" a="1"/>
  <c r="N879" i="1"/>
  <c r="M879" i="1"/>
  <c r="O878" i="1"/>
  <c r="O878" i="1" a="1"/>
  <c r="N878" i="1"/>
  <c r="M878" i="1"/>
  <c r="O877" i="1"/>
  <c r="O877" i="1" a="1"/>
  <c r="N877" i="1"/>
  <c r="M877" i="1"/>
  <c r="O876" i="1"/>
  <c r="O876" i="1" a="1"/>
  <c r="N876" i="1"/>
  <c r="M876" i="1"/>
  <c r="O875" i="1"/>
  <c r="O875" i="1" a="1"/>
  <c r="N875" i="1"/>
  <c r="M875" i="1"/>
  <c r="O874" i="1"/>
  <c r="O874" i="1" a="1"/>
  <c r="N874" i="1"/>
  <c r="M874" i="1"/>
  <c r="O873" i="1"/>
  <c r="O873" i="1" a="1"/>
  <c r="N873" i="1"/>
  <c r="M873" i="1"/>
  <c r="O872" i="1"/>
  <c r="O872" i="1" a="1"/>
  <c r="N872" i="1"/>
  <c r="M872" i="1"/>
  <c r="O871" i="1"/>
  <c r="O871" i="1" a="1"/>
  <c r="N871" i="1"/>
  <c r="M871" i="1"/>
  <c r="O870" i="1"/>
  <c r="O870" i="1" a="1"/>
  <c r="N870" i="1"/>
  <c r="M870" i="1"/>
  <c r="O869" i="1"/>
  <c r="O869" i="1" a="1"/>
  <c r="N869" i="1"/>
  <c r="M869" i="1"/>
  <c r="O868" i="1"/>
  <c r="O868" i="1" a="1"/>
  <c r="N868" i="1"/>
  <c r="M868" i="1"/>
  <c r="O867" i="1"/>
  <c r="O867" i="1" a="1"/>
  <c r="N867" i="1"/>
  <c r="M867" i="1"/>
  <c r="O866" i="1"/>
  <c r="O866" i="1" a="1"/>
  <c r="N866" i="1"/>
  <c r="M866" i="1"/>
  <c r="O865" i="1"/>
  <c r="O865" i="1" a="1"/>
  <c r="N865" i="1"/>
  <c r="M865" i="1"/>
  <c r="O864" i="1"/>
  <c r="O864" i="1" a="1"/>
  <c r="N864" i="1"/>
  <c r="M864" i="1"/>
  <c r="O863" i="1"/>
  <c r="O863" i="1" a="1"/>
  <c r="N863" i="1"/>
  <c r="M863" i="1"/>
  <c r="O862" i="1"/>
  <c r="O862" i="1" a="1"/>
  <c r="N862" i="1"/>
  <c r="M862" i="1"/>
  <c r="O861" i="1"/>
  <c r="O861" i="1" a="1"/>
  <c r="N861" i="1"/>
  <c r="M861" i="1"/>
  <c r="O860" i="1"/>
  <c r="O860" i="1" a="1"/>
  <c r="N860" i="1"/>
  <c r="M860" i="1"/>
  <c r="O859" i="1"/>
  <c r="O859" i="1" a="1"/>
  <c r="N859" i="1"/>
  <c r="M859" i="1"/>
  <c r="O858" i="1"/>
  <c r="O858" i="1" a="1"/>
  <c r="N858" i="1"/>
  <c r="M858" i="1"/>
  <c r="O857" i="1"/>
  <c r="O857" i="1" a="1"/>
  <c r="N857" i="1"/>
  <c r="M857" i="1"/>
  <c r="O856" i="1"/>
  <c r="O856" i="1" a="1"/>
  <c r="N856" i="1"/>
  <c r="M856" i="1"/>
  <c r="O855" i="1"/>
  <c r="O855" i="1" a="1"/>
  <c r="N855" i="1"/>
  <c r="M855" i="1"/>
  <c r="O854" i="1"/>
  <c r="O854" i="1" a="1"/>
  <c r="N854" i="1"/>
  <c r="M854" i="1"/>
  <c r="O853" i="1"/>
  <c r="O853" i="1" a="1"/>
  <c r="N853" i="1"/>
  <c r="M853" i="1"/>
  <c r="O852" i="1"/>
  <c r="O852" i="1" a="1"/>
  <c r="N852" i="1"/>
  <c r="M852" i="1"/>
  <c r="O851" i="1"/>
  <c r="O851" i="1" a="1"/>
  <c r="N851" i="1"/>
  <c r="M851" i="1"/>
  <c r="O850" i="1"/>
  <c r="O850" i="1" a="1"/>
  <c r="N850" i="1"/>
  <c r="M850" i="1"/>
  <c r="O849" i="1"/>
  <c r="O849" i="1" a="1"/>
  <c r="N849" i="1"/>
  <c r="M849" i="1"/>
  <c r="O848" i="1"/>
  <c r="O848" i="1" a="1"/>
  <c r="N848" i="1"/>
  <c r="M848" i="1"/>
  <c r="O847" i="1"/>
  <c r="O847" i="1" a="1"/>
  <c r="N847" i="1"/>
  <c r="M847" i="1"/>
  <c r="O846" i="1"/>
  <c r="O846" i="1" a="1"/>
  <c r="N846" i="1"/>
  <c r="M846" i="1"/>
  <c r="O845" i="1"/>
  <c r="O845" i="1" a="1"/>
  <c r="N845" i="1"/>
  <c r="M845" i="1"/>
  <c r="O844" i="1"/>
  <c r="O844" i="1" a="1"/>
  <c r="N844" i="1"/>
  <c r="M844" i="1"/>
  <c r="O843" i="1"/>
  <c r="O843" i="1" a="1"/>
  <c r="N843" i="1"/>
  <c r="M843" i="1"/>
  <c r="O842" i="1"/>
  <c r="O842" i="1" a="1"/>
  <c r="N842" i="1"/>
  <c r="M842" i="1"/>
  <c r="O841" i="1"/>
  <c r="O841" i="1" a="1"/>
  <c r="N841" i="1"/>
  <c r="M841" i="1"/>
  <c r="O840" i="1"/>
  <c r="O840" i="1" a="1"/>
  <c r="N840" i="1"/>
  <c r="M840" i="1"/>
  <c r="O839" i="1"/>
  <c r="O839" i="1" a="1"/>
  <c r="N839" i="1"/>
  <c r="M839" i="1"/>
  <c r="O838" i="1"/>
  <c r="O838" i="1" a="1"/>
  <c r="N838" i="1"/>
  <c r="M838" i="1"/>
  <c r="O837" i="1"/>
  <c r="O837" i="1" a="1"/>
  <c r="N837" i="1"/>
  <c r="M837" i="1"/>
  <c r="O836" i="1"/>
  <c r="O836" i="1" a="1"/>
  <c r="N836" i="1"/>
  <c r="M836" i="1"/>
  <c r="O835" i="1"/>
  <c r="O835" i="1" a="1"/>
  <c r="N835" i="1"/>
  <c r="M835" i="1"/>
  <c r="O834" i="1"/>
  <c r="O834" i="1" a="1"/>
  <c r="N834" i="1"/>
  <c r="M834" i="1"/>
  <c r="O833" i="1"/>
  <c r="O833" i="1" a="1"/>
  <c r="N833" i="1"/>
  <c r="M833" i="1"/>
  <c r="O832" i="1"/>
  <c r="O832" i="1" a="1"/>
  <c r="N832" i="1"/>
  <c r="M832" i="1"/>
  <c r="O831" i="1"/>
  <c r="O831" i="1" a="1"/>
  <c r="N831" i="1"/>
  <c r="M831" i="1"/>
  <c r="O830" i="1"/>
  <c r="O830" i="1" a="1"/>
  <c r="N830" i="1"/>
  <c r="M830" i="1"/>
  <c r="O829" i="1"/>
  <c r="O829" i="1" a="1"/>
  <c r="N829" i="1"/>
  <c r="M829" i="1"/>
  <c r="O828" i="1"/>
  <c r="O828" i="1" a="1"/>
  <c r="N828" i="1"/>
  <c r="M828" i="1"/>
  <c r="O827" i="1"/>
  <c r="O827" i="1" a="1"/>
  <c r="N827" i="1"/>
  <c r="M827" i="1"/>
  <c r="O826" i="1"/>
  <c r="O826" i="1" a="1"/>
  <c r="N826" i="1"/>
  <c r="M826" i="1"/>
  <c r="O825" i="1"/>
  <c r="O825" i="1" a="1"/>
  <c r="N825" i="1"/>
  <c r="M825" i="1"/>
  <c r="O824" i="1"/>
  <c r="O824" i="1" a="1"/>
  <c r="N824" i="1"/>
  <c r="M824" i="1"/>
  <c r="O823" i="1"/>
  <c r="O823" i="1" a="1"/>
  <c r="N823" i="1"/>
  <c r="M823" i="1"/>
  <c r="O822" i="1"/>
  <c r="O822" i="1" a="1"/>
  <c r="N822" i="1"/>
  <c r="M822" i="1"/>
  <c r="O821" i="1"/>
  <c r="O821" i="1" a="1"/>
  <c r="N821" i="1"/>
  <c r="M821" i="1"/>
  <c r="O820" i="1"/>
  <c r="O820" i="1" a="1"/>
  <c r="N820" i="1"/>
  <c r="M820" i="1"/>
  <c r="O819" i="1"/>
  <c r="O819" i="1" a="1"/>
  <c r="N819" i="1"/>
  <c r="M819" i="1"/>
  <c r="O818" i="1"/>
  <c r="O818" i="1" a="1"/>
  <c r="N818" i="1"/>
  <c r="M818" i="1"/>
  <c r="O817" i="1"/>
  <c r="O817" i="1" a="1"/>
  <c r="N817" i="1"/>
  <c r="M817" i="1"/>
  <c r="O816" i="1"/>
  <c r="O816" i="1" a="1"/>
  <c r="N816" i="1"/>
  <c r="M816" i="1"/>
  <c r="O815" i="1"/>
  <c r="O815" i="1" a="1"/>
  <c r="N815" i="1"/>
  <c r="M815" i="1"/>
  <c r="O814" i="1"/>
  <c r="O814" i="1" a="1"/>
  <c r="N814" i="1"/>
  <c r="M814" i="1"/>
  <c r="O813" i="1"/>
  <c r="O813" i="1" a="1"/>
  <c r="N813" i="1"/>
  <c r="M813" i="1"/>
  <c r="O812" i="1"/>
  <c r="O812" i="1" a="1"/>
  <c r="N812" i="1"/>
  <c r="M812" i="1"/>
  <c r="O811" i="1"/>
  <c r="O811" i="1" a="1"/>
  <c r="N811" i="1"/>
  <c r="M811" i="1"/>
  <c r="O810" i="1"/>
  <c r="O810" i="1" a="1"/>
  <c r="N810" i="1"/>
  <c r="M810" i="1"/>
  <c r="O809" i="1"/>
  <c r="O809" i="1" a="1"/>
  <c r="N809" i="1"/>
  <c r="M809" i="1"/>
  <c r="O808" i="1"/>
  <c r="O808" i="1" a="1"/>
  <c r="N808" i="1"/>
  <c r="M808" i="1"/>
  <c r="O807" i="1"/>
  <c r="O807" i="1" a="1"/>
  <c r="N807" i="1"/>
  <c r="M807" i="1"/>
  <c r="O806" i="1"/>
  <c r="O806" i="1" a="1"/>
  <c r="N806" i="1"/>
  <c r="M806" i="1"/>
  <c r="O805" i="1"/>
  <c r="O805" i="1" a="1"/>
  <c r="N805" i="1"/>
  <c r="M805" i="1"/>
  <c r="O804" i="1"/>
  <c r="O804" i="1" a="1"/>
  <c r="N804" i="1"/>
  <c r="M804" i="1"/>
  <c r="O803" i="1"/>
  <c r="O803" i="1" a="1"/>
  <c r="N803" i="1"/>
  <c r="M803" i="1"/>
  <c r="O802" i="1"/>
  <c r="O802" i="1" a="1"/>
  <c r="N802" i="1"/>
  <c r="M802" i="1"/>
  <c r="O801" i="1"/>
  <c r="O801" i="1" a="1"/>
  <c r="N801" i="1"/>
  <c r="M801" i="1"/>
  <c r="O800" i="1"/>
  <c r="O800" i="1" a="1"/>
  <c r="N800" i="1"/>
  <c r="M800" i="1"/>
  <c r="O799" i="1"/>
  <c r="O799" i="1" a="1"/>
  <c r="N799" i="1"/>
  <c r="M799" i="1"/>
  <c r="O798" i="1"/>
  <c r="O798" i="1" a="1"/>
  <c r="N798" i="1"/>
  <c r="M798" i="1"/>
  <c r="O797" i="1"/>
  <c r="O797" i="1" a="1"/>
  <c r="N797" i="1"/>
  <c r="M797" i="1"/>
  <c r="O796" i="1"/>
  <c r="O796" i="1" a="1"/>
  <c r="N796" i="1"/>
  <c r="M796" i="1"/>
  <c r="O795" i="1"/>
  <c r="O795" i="1" a="1"/>
  <c r="N795" i="1"/>
  <c r="M795" i="1"/>
  <c r="O794" i="1"/>
  <c r="O794" i="1" a="1"/>
  <c r="N794" i="1"/>
  <c r="M794" i="1"/>
  <c r="O793" i="1"/>
  <c r="O793" i="1" a="1"/>
  <c r="N793" i="1"/>
  <c r="M793" i="1"/>
  <c r="O792" i="1"/>
  <c r="O792" i="1" a="1"/>
  <c r="N792" i="1"/>
  <c r="M792" i="1"/>
  <c r="O791" i="1"/>
  <c r="O791" i="1" a="1"/>
  <c r="N791" i="1"/>
  <c r="M791" i="1"/>
  <c r="O790" i="1"/>
  <c r="O790" i="1" a="1"/>
  <c r="N790" i="1"/>
  <c r="M790" i="1"/>
  <c r="O789" i="1"/>
  <c r="O789" i="1" a="1"/>
  <c r="N789" i="1"/>
  <c r="M789" i="1"/>
  <c r="O788" i="1"/>
  <c r="O788" i="1" a="1"/>
  <c r="N788" i="1"/>
  <c r="M788" i="1"/>
  <c r="O787" i="1"/>
  <c r="O787" i="1" a="1"/>
  <c r="N787" i="1"/>
  <c r="M787" i="1"/>
  <c r="O786" i="1"/>
  <c r="O786" i="1" a="1"/>
  <c r="N786" i="1"/>
  <c r="M786" i="1"/>
  <c r="O785" i="1"/>
  <c r="O785" i="1" a="1"/>
  <c r="N785" i="1"/>
  <c r="M785" i="1"/>
  <c r="O784" i="1"/>
  <c r="O784" i="1" a="1"/>
  <c r="N784" i="1"/>
  <c r="M784" i="1"/>
  <c r="O783" i="1"/>
  <c r="O783" i="1" a="1"/>
  <c r="N783" i="1"/>
  <c r="M783" i="1"/>
  <c r="O782" i="1"/>
  <c r="O782" i="1" a="1"/>
  <c r="N782" i="1"/>
  <c r="M782" i="1"/>
  <c r="O781" i="1"/>
  <c r="O781" i="1" a="1"/>
  <c r="N781" i="1"/>
  <c r="M781" i="1"/>
  <c r="O780" i="1"/>
  <c r="O780" i="1" a="1"/>
  <c r="N780" i="1"/>
  <c r="M780" i="1"/>
  <c r="O779" i="1"/>
  <c r="O779" i="1" a="1"/>
  <c r="N779" i="1"/>
  <c r="M779" i="1"/>
  <c r="O778" i="1"/>
  <c r="O778" i="1" a="1"/>
  <c r="N778" i="1"/>
  <c r="M778" i="1"/>
  <c r="O777" i="1"/>
  <c r="O777" i="1" a="1"/>
  <c r="N777" i="1"/>
  <c r="M777" i="1"/>
  <c r="O776" i="1"/>
  <c r="O776" i="1" a="1"/>
  <c r="N776" i="1"/>
  <c r="M776" i="1"/>
  <c r="O775" i="1"/>
  <c r="O775" i="1" a="1"/>
  <c r="N775" i="1"/>
  <c r="M775" i="1"/>
  <c r="O774" i="1"/>
  <c r="O774" i="1" a="1"/>
  <c r="N774" i="1"/>
  <c r="M774" i="1"/>
  <c r="O773" i="1"/>
  <c r="O773" i="1" a="1"/>
  <c r="N773" i="1"/>
  <c r="M773" i="1"/>
  <c r="O772" i="1"/>
  <c r="O772" i="1" a="1"/>
  <c r="N772" i="1"/>
  <c r="M772" i="1"/>
  <c r="O771" i="1"/>
  <c r="O771" i="1" a="1"/>
  <c r="N771" i="1"/>
  <c r="M771" i="1"/>
  <c r="O770" i="1"/>
  <c r="O770" i="1" a="1"/>
  <c r="N770" i="1"/>
  <c r="M770" i="1"/>
  <c r="O769" i="1"/>
  <c r="O769" i="1" a="1"/>
  <c r="N769" i="1"/>
  <c r="M769" i="1"/>
  <c r="O768" i="1"/>
  <c r="O768" i="1" a="1"/>
  <c r="N768" i="1"/>
  <c r="M768" i="1"/>
  <c r="O767" i="1"/>
  <c r="O767" i="1" a="1"/>
  <c r="N767" i="1"/>
  <c r="M767" i="1"/>
  <c r="O766" i="1"/>
  <c r="O766" i="1" a="1"/>
  <c r="N766" i="1"/>
  <c r="M766" i="1"/>
  <c r="O765" i="1"/>
  <c r="O765" i="1" a="1"/>
  <c r="N765" i="1"/>
  <c r="M765" i="1"/>
  <c r="O764" i="1"/>
  <c r="O764" i="1" a="1"/>
  <c r="N764" i="1"/>
  <c r="M764" i="1"/>
  <c r="O763" i="1"/>
  <c r="O763" i="1" a="1"/>
  <c r="N763" i="1"/>
  <c r="M763" i="1"/>
  <c r="O762" i="1"/>
  <c r="O762" i="1" a="1"/>
  <c r="N762" i="1"/>
  <c r="M762" i="1"/>
  <c r="O761" i="1"/>
  <c r="O761" i="1" a="1"/>
  <c r="N761" i="1"/>
  <c r="M761" i="1"/>
  <c r="O760" i="1"/>
  <c r="O760" i="1" a="1"/>
  <c r="N760" i="1"/>
  <c r="M760" i="1"/>
  <c r="O759" i="1"/>
  <c r="O759" i="1" a="1"/>
  <c r="N759" i="1"/>
  <c r="M759" i="1"/>
  <c r="O758" i="1"/>
  <c r="O758" i="1" a="1"/>
  <c r="N758" i="1"/>
  <c r="M758" i="1"/>
  <c r="O757" i="1"/>
  <c r="O757" i="1" a="1"/>
  <c r="N757" i="1"/>
  <c r="M757" i="1"/>
  <c r="O756" i="1"/>
  <c r="O756" i="1" a="1"/>
  <c r="N756" i="1"/>
  <c r="M756" i="1"/>
  <c r="O755" i="1"/>
  <c r="O755" i="1" a="1"/>
  <c r="N755" i="1"/>
  <c r="M755" i="1"/>
  <c r="O754" i="1"/>
  <c r="O754" i="1" a="1"/>
  <c r="N754" i="1"/>
  <c r="M754" i="1"/>
  <c r="O753" i="1"/>
  <c r="O753" i="1" a="1"/>
  <c r="N753" i="1"/>
  <c r="M753" i="1"/>
  <c r="O752" i="1"/>
  <c r="O752" i="1" a="1"/>
  <c r="N752" i="1"/>
  <c r="M752" i="1"/>
  <c r="O751" i="1"/>
  <c r="O751" i="1" a="1"/>
  <c r="N751" i="1"/>
  <c r="M751" i="1"/>
  <c r="O750" i="1"/>
  <c r="O750" i="1" a="1"/>
  <c r="N750" i="1"/>
  <c r="M750" i="1"/>
  <c r="O749" i="1"/>
  <c r="O749" i="1" a="1"/>
  <c r="N749" i="1"/>
  <c r="M749" i="1"/>
  <c r="O748" i="1"/>
  <c r="O748" i="1" a="1"/>
  <c r="N748" i="1"/>
  <c r="M748" i="1"/>
  <c r="O747" i="1"/>
  <c r="O747" i="1" a="1"/>
  <c r="N747" i="1"/>
  <c r="M747" i="1"/>
  <c r="O746" i="1"/>
  <c r="O746" i="1" a="1"/>
  <c r="N746" i="1"/>
  <c r="M746" i="1"/>
  <c r="O745" i="1"/>
  <c r="O745" i="1" a="1"/>
  <c r="N745" i="1"/>
  <c r="M745" i="1"/>
  <c r="O744" i="1"/>
  <c r="O744" i="1" a="1"/>
  <c r="N744" i="1"/>
  <c r="M744" i="1"/>
  <c r="O743" i="1"/>
  <c r="O743" i="1" a="1"/>
  <c r="N743" i="1"/>
  <c r="M743" i="1"/>
  <c r="O742" i="1"/>
  <c r="O742" i="1" a="1"/>
  <c r="N742" i="1"/>
  <c r="M742" i="1"/>
  <c r="O741" i="1"/>
  <c r="O741" i="1" a="1"/>
  <c r="N741" i="1"/>
  <c r="M741" i="1"/>
  <c r="O740" i="1"/>
  <c r="O740" i="1" a="1"/>
  <c r="N740" i="1"/>
  <c r="M740" i="1"/>
  <c r="O739" i="1"/>
  <c r="O739" i="1" a="1"/>
  <c r="N739" i="1"/>
  <c r="M739" i="1"/>
  <c r="O738" i="1"/>
  <c r="O738" i="1" a="1"/>
  <c r="N738" i="1"/>
  <c r="M738" i="1"/>
  <c r="O737" i="1"/>
  <c r="O737" i="1" a="1"/>
  <c r="N737" i="1"/>
  <c r="M737" i="1"/>
  <c r="O736" i="1"/>
  <c r="O736" i="1" a="1"/>
  <c r="N736" i="1"/>
  <c r="M736" i="1"/>
  <c r="O735" i="1"/>
  <c r="O735" i="1" a="1"/>
  <c r="N735" i="1"/>
  <c r="M735" i="1"/>
  <c r="O734" i="1"/>
  <c r="O734" i="1" a="1"/>
  <c r="N734" i="1"/>
  <c r="M734" i="1"/>
  <c r="O733" i="1"/>
  <c r="O733" i="1" a="1"/>
  <c r="N733" i="1"/>
  <c r="M733" i="1"/>
  <c r="O732" i="1"/>
  <c r="O732" i="1" a="1"/>
  <c r="N732" i="1"/>
  <c r="M732" i="1"/>
  <c r="O731" i="1"/>
  <c r="O731" i="1" a="1"/>
  <c r="N731" i="1"/>
  <c r="M731" i="1"/>
  <c r="O730" i="1"/>
  <c r="O730" i="1" a="1"/>
  <c r="N730" i="1"/>
  <c r="M730" i="1"/>
  <c r="O729" i="1"/>
  <c r="O729" i="1" a="1"/>
  <c r="N729" i="1"/>
  <c r="M729" i="1"/>
  <c r="O728" i="1"/>
  <c r="O728" i="1" a="1"/>
  <c r="N728" i="1"/>
  <c r="M728" i="1"/>
  <c r="O727" i="1"/>
  <c r="O727" i="1" a="1"/>
  <c r="N727" i="1"/>
  <c r="M727" i="1"/>
  <c r="O726" i="1"/>
  <c r="O726" i="1" a="1"/>
  <c r="N726" i="1"/>
  <c r="M726" i="1"/>
  <c r="O725" i="1"/>
  <c r="O725" i="1" a="1"/>
  <c r="N725" i="1"/>
  <c r="M725" i="1"/>
  <c r="O724" i="1"/>
  <c r="O724" i="1" a="1"/>
  <c r="N724" i="1"/>
  <c r="M724" i="1"/>
  <c r="O723" i="1"/>
  <c r="O723" i="1" a="1"/>
  <c r="N723" i="1"/>
  <c r="M723" i="1"/>
  <c r="O722" i="1"/>
  <c r="O722" i="1" a="1"/>
  <c r="N722" i="1"/>
  <c r="M722" i="1"/>
  <c r="O721" i="1"/>
  <c r="O721" i="1" a="1"/>
  <c r="N721" i="1"/>
  <c r="M721" i="1"/>
  <c r="O720" i="1"/>
  <c r="O720" i="1" a="1"/>
  <c r="N720" i="1"/>
  <c r="M720" i="1"/>
  <c r="O719" i="1"/>
  <c r="O719" i="1" a="1"/>
  <c r="N719" i="1"/>
  <c r="M719" i="1"/>
  <c r="O718" i="1"/>
  <c r="O718" i="1" a="1"/>
  <c r="N718" i="1"/>
  <c r="M718" i="1"/>
  <c r="O717" i="1"/>
  <c r="O717" i="1" a="1"/>
  <c r="N717" i="1"/>
  <c r="M717" i="1"/>
  <c r="O716" i="1"/>
  <c r="O716" i="1" a="1"/>
  <c r="N716" i="1"/>
  <c r="M716" i="1"/>
  <c r="O715" i="1"/>
  <c r="O715" i="1" a="1"/>
  <c r="N715" i="1"/>
  <c r="M715" i="1"/>
  <c r="O714" i="1"/>
  <c r="O714" i="1" a="1"/>
  <c r="N714" i="1"/>
  <c r="M714" i="1"/>
  <c r="O713" i="1"/>
  <c r="O713" i="1" a="1"/>
  <c r="N713" i="1"/>
  <c r="M713" i="1"/>
  <c r="O712" i="1"/>
  <c r="O712" i="1" a="1"/>
  <c r="N712" i="1"/>
  <c r="M712" i="1"/>
  <c r="O711" i="1"/>
  <c r="O711" i="1" a="1"/>
  <c r="N711" i="1"/>
  <c r="M711" i="1"/>
  <c r="O710" i="1"/>
  <c r="O710" i="1" a="1"/>
  <c r="N710" i="1"/>
  <c r="M710" i="1"/>
  <c r="O709" i="1"/>
  <c r="O709" i="1" a="1"/>
  <c r="N709" i="1"/>
  <c r="M709" i="1"/>
  <c r="O708" i="1"/>
  <c r="O708" i="1" a="1"/>
  <c r="N708" i="1"/>
  <c r="M708" i="1"/>
  <c r="O707" i="1"/>
  <c r="O707" i="1" a="1"/>
  <c r="N707" i="1"/>
  <c r="M707" i="1"/>
  <c r="O706" i="1"/>
  <c r="O706" i="1" a="1"/>
  <c r="N706" i="1"/>
  <c r="M706" i="1"/>
  <c r="O705" i="1"/>
  <c r="O705" i="1" a="1"/>
  <c r="N705" i="1"/>
  <c r="M705" i="1"/>
  <c r="O704" i="1"/>
  <c r="O704" i="1" a="1"/>
  <c r="N704" i="1"/>
  <c r="M704" i="1"/>
  <c r="O703" i="1"/>
  <c r="O703" i="1" a="1"/>
  <c r="N703" i="1"/>
  <c r="M703" i="1"/>
  <c r="O702" i="1"/>
  <c r="O702" i="1" a="1"/>
  <c r="N702" i="1"/>
  <c r="M702" i="1"/>
  <c r="O701" i="1"/>
  <c r="O701" i="1" a="1"/>
  <c r="N701" i="1"/>
  <c r="M701" i="1"/>
  <c r="O700" i="1"/>
  <c r="O700" i="1" a="1"/>
  <c r="N700" i="1"/>
  <c r="M700" i="1"/>
  <c r="O699" i="1"/>
  <c r="O699" i="1" a="1"/>
  <c r="N699" i="1"/>
  <c r="M699" i="1"/>
  <c r="O698" i="1"/>
  <c r="O698" i="1" a="1"/>
  <c r="N698" i="1"/>
  <c r="M698" i="1"/>
  <c r="O697" i="1"/>
  <c r="O697" i="1" a="1"/>
  <c r="N697" i="1"/>
  <c r="M697" i="1"/>
  <c r="O696" i="1"/>
  <c r="O696" i="1" a="1"/>
  <c r="N696" i="1"/>
  <c r="M696" i="1"/>
  <c r="O695" i="1"/>
  <c r="O695" i="1" a="1"/>
  <c r="N695" i="1"/>
  <c r="M695" i="1"/>
  <c r="O694" i="1"/>
  <c r="O694" i="1" a="1"/>
  <c r="N694" i="1"/>
  <c r="M694" i="1"/>
  <c r="O693" i="1"/>
  <c r="O693" i="1" a="1"/>
  <c r="N693" i="1"/>
  <c r="M693" i="1"/>
  <c r="O692" i="1"/>
  <c r="O692" i="1" a="1"/>
  <c r="N692" i="1"/>
  <c r="M692" i="1"/>
  <c r="O691" i="1"/>
  <c r="O691" i="1" a="1"/>
  <c r="N691" i="1"/>
  <c r="M691" i="1"/>
  <c r="O690" i="1"/>
  <c r="O690" i="1" a="1"/>
  <c r="N690" i="1"/>
  <c r="M690" i="1"/>
  <c r="O689" i="1"/>
  <c r="O689" i="1" a="1"/>
  <c r="N689" i="1"/>
  <c r="M689" i="1"/>
  <c r="O688" i="1"/>
  <c r="O688" i="1" a="1"/>
  <c r="N688" i="1"/>
  <c r="M688" i="1"/>
  <c r="O687" i="1"/>
  <c r="O687" i="1" a="1"/>
  <c r="N687" i="1"/>
  <c r="M687" i="1"/>
  <c r="O686" i="1"/>
  <c r="O686" i="1" a="1"/>
  <c r="N686" i="1"/>
  <c r="M686" i="1"/>
  <c r="O685" i="1"/>
  <c r="O685" i="1" a="1"/>
  <c r="N685" i="1"/>
  <c r="M685" i="1"/>
  <c r="O684" i="1"/>
  <c r="O684" i="1" a="1"/>
  <c r="N684" i="1"/>
  <c r="M684" i="1"/>
  <c r="O683" i="1"/>
  <c r="O683" i="1" a="1"/>
  <c r="N683" i="1"/>
  <c r="M683" i="1"/>
  <c r="O682" i="1"/>
  <c r="O682" i="1" a="1"/>
  <c r="N682" i="1"/>
  <c r="M682" i="1"/>
  <c r="O681" i="1"/>
  <c r="O681" i="1" a="1"/>
  <c r="N681" i="1"/>
  <c r="M681" i="1"/>
  <c r="O680" i="1"/>
  <c r="O680" i="1" a="1"/>
  <c r="N680" i="1"/>
  <c r="M680" i="1"/>
  <c r="O679" i="1"/>
  <c r="O679" i="1" a="1"/>
  <c r="N679" i="1"/>
  <c r="M679" i="1"/>
  <c r="O678" i="1"/>
  <c r="O678" i="1" a="1"/>
  <c r="N678" i="1"/>
  <c r="M678" i="1"/>
  <c r="O677" i="1"/>
  <c r="O677" i="1" a="1"/>
  <c r="N677" i="1"/>
  <c r="M677" i="1"/>
  <c r="O676" i="1"/>
  <c r="O676" i="1" a="1"/>
  <c r="N676" i="1"/>
  <c r="M676" i="1"/>
  <c r="O675" i="1"/>
  <c r="O675" i="1" a="1"/>
  <c r="N675" i="1"/>
  <c r="M675" i="1"/>
  <c r="O674" i="1"/>
  <c r="O674" i="1" a="1"/>
  <c r="N674" i="1"/>
  <c r="M674" i="1"/>
  <c r="O673" i="1"/>
  <c r="O673" i="1" a="1"/>
  <c r="N673" i="1"/>
  <c r="M673" i="1"/>
  <c r="O672" i="1"/>
  <c r="O672" i="1" a="1"/>
  <c r="N672" i="1"/>
  <c r="M672" i="1"/>
  <c r="O671" i="1"/>
  <c r="O671" i="1" a="1"/>
  <c r="N671" i="1"/>
  <c r="M671" i="1"/>
  <c r="O670" i="1"/>
  <c r="O670" i="1" a="1"/>
  <c r="N670" i="1"/>
  <c r="M670" i="1"/>
  <c r="O669" i="1"/>
  <c r="O669" i="1" a="1"/>
  <c r="N669" i="1"/>
  <c r="M669" i="1"/>
  <c r="O668" i="1"/>
  <c r="O668" i="1" a="1"/>
  <c r="N668" i="1"/>
  <c r="M668" i="1"/>
  <c r="O667" i="1"/>
  <c r="O667" i="1" a="1"/>
  <c r="N667" i="1"/>
  <c r="M667" i="1"/>
  <c r="O666" i="1"/>
  <c r="O666" i="1" a="1"/>
  <c r="N666" i="1"/>
  <c r="M666" i="1"/>
  <c r="O665" i="1"/>
  <c r="O665" i="1" a="1"/>
  <c r="N665" i="1"/>
  <c r="M665" i="1"/>
  <c r="O664" i="1"/>
  <c r="O664" i="1" a="1"/>
  <c r="N664" i="1"/>
  <c r="M664" i="1"/>
  <c r="O663" i="1"/>
  <c r="O663" i="1" a="1"/>
  <c r="N663" i="1"/>
  <c r="M663" i="1"/>
  <c r="O662" i="1"/>
  <c r="O662" i="1" a="1"/>
  <c r="N662" i="1"/>
  <c r="M662" i="1"/>
  <c r="O661" i="1"/>
  <c r="O661" i="1" a="1"/>
  <c r="N661" i="1"/>
  <c r="M661" i="1"/>
  <c r="O660" i="1"/>
  <c r="O660" i="1" a="1"/>
  <c r="N660" i="1"/>
  <c r="M660" i="1"/>
  <c r="O659" i="1"/>
  <c r="O659" i="1" a="1"/>
  <c r="N659" i="1"/>
  <c r="M659" i="1"/>
  <c r="O658" i="1"/>
  <c r="O658" i="1" a="1"/>
  <c r="N658" i="1"/>
  <c r="M658" i="1"/>
  <c r="O657" i="1"/>
  <c r="O657" i="1" a="1"/>
  <c r="N657" i="1"/>
  <c r="M657" i="1"/>
  <c r="O656" i="1"/>
  <c r="O656" i="1" a="1"/>
  <c r="N656" i="1"/>
  <c r="M656" i="1"/>
  <c r="O655" i="1"/>
  <c r="O655" i="1" a="1"/>
  <c r="N655" i="1"/>
  <c r="M655" i="1"/>
  <c r="O654" i="1"/>
  <c r="O654" i="1" a="1"/>
  <c r="N654" i="1"/>
  <c r="M654" i="1"/>
  <c r="O653" i="1"/>
  <c r="O653" i="1" a="1"/>
  <c r="N653" i="1"/>
  <c r="M653" i="1"/>
  <c r="O652" i="1"/>
  <c r="O652" i="1" a="1"/>
  <c r="N652" i="1"/>
  <c r="M652" i="1"/>
  <c r="O651" i="1"/>
  <c r="O651" i="1" a="1"/>
  <c r="N651" i="1"/>
  <c r="M651" i="1"/>
  <c r="O650" i="1"/>
  <c r="O650" i="1" a="1"/>
  <c r="N650" i="1"/>
  <c r="M650" i="1"/>
  <c r="O649" i="1"/>
  <c r="O649" i="1" a="1"/>
  <c r="N649" i="1"/>
  <c r="M649" i="1"/>
  <c r="O648" i="1"/>
  <c r="O648" i="1" a="1"/>
  <c r="N648" i="1"/>
  <c r="M648" i="1"/>
  <c r="O647" i="1"/>
  <c r="O647" i="1" a="1"/>
  <c r="N647" i="1"/>
  <c r="M647" i="1"/>
  <c r="O646" i="1"/>
  <c r="O646" i="1" a="1"/>
  <c r="N646" i="1"/>
  <c r="M646" i="1"/>
  <c r="O645" i="1"/>
  <c r="O645" i="1" a="1"/>
  <c r="N645" i="1"/>
  <c r="M645" i="1"/>
  <c r="O644" i="1"/>
  <c r="O644" i="1" a="1"/>
  <c r="N644" i="1"/>
  <c r="M644" i="1"/>
  <c r="O643" i="1"/>
  <c r="O643" i="1" a="1"/>
  <c r="N643" i="1"/>
  <c r="M643" i="1"/>
  <c r="O642" i="1"/>
  <c r="O642" i="1" a="1"/>
  <c r="N642" i="1"/>
  <c r="M642" i="1"/>
  <c r="O641" i="1"/>
  <c r="O641" i="1" a="1"/>
  <c r="N641" i="1"/>
  <c r="M641" i="1"/>
  <c r="O640" i="1"/>
  <c r="O640" i="1" a="1"/>
  <c r="N640" i="1"/>
  <c r="M640" i="1"/>
  <c r="O639" i="1"/>
  <c r="O639" i="1" a="1"/>
  <c r="N639" i="1"/>
  <c r="M639" i="1"/>
  <c r="O638" i="1"/>
  <c r="O638" i="1" a="1"/>
  <c r="N638" i="1"/>
  <c r="M638" i="1"/>
  <c r="O637" i="1"/>
  <c r="O637" i="1" a="1"/>
  <c r="N637" i="1"/>
  <c r="M637" i="1"/>
  <c r="O636" i="1"/>
  <c r="O636" i="1" a="1"/>
  <c r="N636" i="1"/>
  <c r="M636" i="1"/>
  <c r="O635" i="1"/>
  <c r="O635" i="1" a="1"/>
  <c r="N635" i="1"/>
  <c r="M635" i="1"/>
  <c r="O634" i="1"/>
  <c r="O634" i="1" a="1"/>
  <c r="N634" i="1"/>
  <c r="M634" i="1"/>
  <c r="O633" i="1"/>
  <c r="O633" i="1" a="1"/>
  <c r="N633" i="1"/>
  <c r="M633" i="1"/>
  <c r="O632" i="1"/>
  <c r="O632" i="1" a="1"/>
  <c r="N632" i="1"/>
  <c r="M632" i="1"/>
  <c r="O631" i="1"/>
  <c r="O631" i="1" a="1"/>
  <c r="N631" i="1"/>
  <c r="M631" i="1"/>
  <c r="O630" i="1"/>
  <c r="O630" i="1" a="1"/>
  <c r="N630" i="1"/>
  <c r="M630" i="1"/>
  <c r="O629" i="1"/>
  <c r="O629" i="1" a="1"/>
  <c r="N629" i="1"/>
  <c r="M629" i="1"/>
  <c r="O628" i="1"/>
  <c r="O628" i="1" a="1"/>
  <c r="N628" i="1"/>
  <c r="M628" i="1"/>
  <c r="O627" i="1"/>
  <c r="O627" i="1" a="1"/>
  <c r="N627" i="1"/>
  <c r="M627" i="1"/>
  <c r="O626" i="1"/>
  <c r="O626" i="1" a="1"/>
  <c r="N626" i="1"/>
  <c r="M626" i="1"/>
  <c r="O625" i="1"/>
  <c r="O625" i="1" a="1"/>
  <c r="N625" i="1"/>
  <c r="M625" i="1"/>
  <c r="O624" i="1"/>
  <c r="O624" i="1" a="1"/>
  <c r="N624" i="1"/>
  <c r="M624" i="1"/>
  <c r="O623" i="1"/>
  <c r="O623" i="1" a="1"/>
  <c r="N623" i="1"/>
  <c r="M623" i="1"/>
  <c r="O622" i="1"/>
  <c r="O622" i="1" a="1"/>
  <c r="N622" i="1"/>
  <c r="M622" i="1"/>
  <c r="O621" i="1"/>
  <c r="O621" i="1" a="1"/>
  <c r="N621" i="1"/>
  <c r="M621" i="1"/>
  <c r="O620" i="1"/>
  <c r="O620" i="1" a="1"/>
  <c r="N620" i="1"/>
  <c r="M620" i="1"/>
  <c r="O619" i="1"/>
  <c r="O619" i="1" a="1"/>
  <c r="N619" i="1"/>
  <c r="M619" i="1"/>
  <c r="O618" i="1"/>
  <c r="O618" i="1" a="1"/>
  <c r="N618" i="1"/>
  <c r="M618" i="1"/>
  <c r="O617" i="1"/>
  <c r="O617" i="1" a="1"/>
  <c r="N617" i="1"/>
  <c r="M617" i="1"/>
  <c r="O616" i="1"/>
  <c r="O616" i="1" a="1"/>
  <c r="N616" i="1"/>
  <c r="M616" i="1"/>
  <c r="O615" i="1"/>
  <c r="O615" i="1" a="1"/>
  <c r="N615" i="1"/>
  <c r="M615" i="1"/>
  <c r="O614" i="1"/>
  <c r="O614" i="1" a="1"/>
  <c r="N614" i="1"/>
  <c r="M614" i="1"/>
  <c r="O613" i="1"/>
  <c r="O613" i="1" a="1"/>
  <c r="N613" i="1"/>
  <c r="M613" i="1"/>
  <c r="O612" i="1"/>
  <c r="O612" i="1" a="1"/>
  <c r="N612" i="1"/>
  <c r="M612" i="1"/>
  <c r="O611" i="1"/>
  <c r="O611" i="1" a="1"/>
  <c r="N611" i="1"/>
  <c r="M611" i="1"/>
  <c r="O610" i="1"/>
  <c r="O610" i="1" a="1"/>
  <c r="N610" i="1"/>
  <c r="M610" i="1"/>
  <c r="O609" i="1"/>
  <c r="O609" i="1" a="1"/>
  <c r="N609" i="1"/>
  <c r="M609" i="1"/>
  <c r="O608" i="1"/>
  <c r="O608" i="1" a="1"/>
  <c r="N608" i="1"/>
  <c r="M608" i="1"/>
  <c r="O607" i="1"/>
  <c r="O607" i="1" a="1"/>
  <c r="N607" i="1"/>
  <c r="M607" i="1"/>
  <c r="O606" i="1"/>
  <c r="O606" i="1" a="1"/>
  <c r="N606" i="1"/>
  <c r="M606" i="1"/>
  <c r="O605" i="1"/>
  <c r="O605" i="1" a="1"/>
  <c r="N605" i="1"/>
  <c r="M605" i="1"/>
  <c r="O604" i="1"/>
  <c r="O604" i="1" a="1"/>
  <c r="N604" i="1"/>
  <c r="M604" i="1"/>
  <c r="O603" i="1"/>
  <c r="O603" i="1" a="1"/>
  <c r="N603" i="1"/>
  <c r="M603" i="1"/>
  <c r="O602" i="1"/>
  <c r="O602" i="1" a="1"/>
  <c r="N602" i="1"/>
  <c r="M602" i="1"/>
  <c r="O601" i="1"/>
  <c r="O601" i="1" a="1"/>
  <c r="N601" i="1"/>
  <c r="M601" i="1"/>
  <c r="O600" i="1"/>
  <c r="O600" i="1" a="1"/>
  <c r="N600" i="1"/>
  <c r="M600" i="1"/>
  <c r="O599" i="1"/>
  <c r="O599" i="1" a="1"/>
  <c r="N599" i="1"/>
  <c r="M599" i="1"/>
  <c r="O598" i="1"/>
  <c r="O598" i="1" a="1"/>
  <c r="N598" i="1"/>
  <c r="M598" i="1"/>
  <c r="O597" i="1"/>
  <c r="O597" i="1" a="1"/>
  <c r="N597" i="1"/>
  <c r="M597" i="1"/>
  <c r="O596" i="1"/>
  <c r="O596" i="1" a="1"/>
  <c r="N596" i="1"/>
  <c r="M596" i="1"/>
  <c r="O595" i="1"/>
  <c r="O595" i="1" a="1"/>
  <c r="N595" i="1"/>
  <c r="M595" i="1"/>
  <c r="O594" i="1"/>
  <c r="O594" i="1" a="1"/>
  <c r="N594" i="1"/>
  <c r="M594" i="1"/>
  <c r="O593" i="1"/>
  <c r="O593" i="1" a="1"/>
  <c r="N593" i="1"/>
  <c r="M593" i="1"/>
  <c r="O592" i="1"/>
  <c r="O592" i="1" a="1"/>
  <c r="N592" i="1"/>
  <c r="M592" i="1"/>
  <c r="O591" i="1"/>
  <c r="O591" i="1" a="1"/>
  <c r="N591" i="1"/>
  <c r="M591" i="1"/>
  <c r="O590" i="1"/>
  <c r="O590" i="1" a="1"/>
  <c r="N590" i="1"/>
  <c r="M590" i="1"/>
  <c r="O589" i="1"/>
  <c r="O589" i="1" a="1"/>
  <c r="N589" i="1"/>
  <c r="M589" i="1"/>
  <c r="O588" i="1"/>
  <c r="O588" i="1" a="1"/>
  <c r="N588" i="1"/>
  <c r="M588" i="1"/>
  <c r="O587" i="1"/>
  <c r="O587" i="1" a="1"/>
  <c r="N587" i="1"/>
  <c r="M587" i="1"/>
  <c r="O586" i="1"/>
  <c r="O586" i="1" a="1"/>
  <c r="N586" i="1"/>
  <c r="M586" i="1"/>
  <c r="O585" i="1"/>
  <c r="O585" i="1" a="1"/>
  <c r="N585" i="1"/>
  <c r="M585" i="1"/>
  <c r="O584" i="1"/>
  <c r="O584" i="1" a="1"/>
  <c r="N584" i="1"/>
  <c r="M584" i="1"/>
  <c r="O583" i="1"/>
  <c r="O583" i="1" a="1"/>
  <c r="N583" i="1"/>
  <c r="M583" i="1"/>
  <c r="O582" i="1"/>
  <c r="O582" i="1" a="1"/>
  <c r="N582" i="1"/>
  <c r="M582" i="1"/>
  <c r="O581" i="1"/>
  <c r="O581" i="1" a="1"/>
  <c r="N581" i="1"/>
  <c r="M581" i="1"/>
  <c r="O580" i="1"/>
  <c r="O580" i="1" a="1"/>
  <c r="N580" i="1"/>
  <c r="M580" i="1"/>
  <c r="O579" i="1"/>
  <c r="O579" i="1" a="1"/>
  <c r="N579" i="1"/>
  <c r="M579" i="1"/>
  <c r="O578" i="1"/>
  <c r="O578" i="1" a="1"/>
  <c r="N578" i="1"/>
  <c r="M578" i="1"/>
  <c r="O577" i="1"/>
  <c r="O577" i="1" a="1"/>
  <c r="N577" i="1"/>
  <c r="M577" i="1"/>
  <c r="O576" i="1"/>
  <c r="O576" i="1" a="1"/>
  <c r="N576" i="1"/>
  <c r="M576" i="1"/>
  <c r="O575" i="1"/>
  <c r="O575" i="1" a="1"/>
  <c r="N575" i="1"/>
  <c r="M575" i="1"/>
  <c r="O574" i="1"/>
  <c r="O574" i="1" a="1"/>
  <c r="N574" i="1"/>
  <c r="M574" i="1"/>
  <c r="O573" i="1"/>
  <c r="O573" i="1" a="1"/>
  <c r="N573" i="1"/>
  <c r="M573" i="1"/>
  <c r="O572" i="1"/>
  <c r="O572" i="1" a="1"/>
  <c r="N572" i="1"/>
  <c r="M572" i="1"/>
  <c r="O571" i="1"/>
  <c r="O571" i="1" a="1"/>
  <c r="N571" i="1"/>
  <c r="M571" i="1"/>
  <c r="O570" i="1"/>
  <c r="O570" i="1" a="1"/>
  <c r="N570" i="1"/>
  <c r="M570" i="1"/>
  <c r="O569" i="1"/>
  <c r="O569" i="1" a="1"/>
  <c r="N569" i="1"/>
  <c r="M569" i="1"/>
  <c r="O568" i="1"/>
  <c r="O568" i="1" a="1"/>
  <c r="N568" i="1"/>
  <c r="M568" i="1"/>
  <c r="O567" i="1"/>
  <c r="O567" i="1" a="1"/>
  <c r="N567" i="1"/>
  <c r="M567" i="1"/>
  <c r="O566" i="1"/>
  <c r="O566" i="1" a="1"/>
  <c r="N566" i="1"/>
  <c r="M566" i="1"/>
  <c r="O565" i="1"/>
  <c r="O565" i="1" a="1"/>
  <c r="N565" i="1"/>
  <c r="M565" i="1"/>
  <c r="O564" i="1"/>
  <c r="O564" i="1" a="1"/>
  <c r="N564" i="1"/>
  <c r="M564" i="1"/>
  <c r="O563" i="1"/>
  <c r="O563" i="1" a="1"/>
  <c r="N563" i="1"/>
  <c r="M563" i="1"/>
  <c r="O562" i="1"/>
  <c r="O562" i="1" a="1"/>
  <c r="N562" i="1"/>
  <c r="M562" i="1"/>
  <c r="O561" i="1"/>
  <c r="O561" i="1" a="1"/>
  <c r="N561" i="1"/>
  <c r="M561" i="1"/>
  <c r="O560" i="1"/>
  <c r="O560" i="1" a="1"/>
  <c r="N560" i="1"/>
  <c r="M560" i="1"/>
  <c r="O559" i="1"/>
  <c r="O559" i="1" a="1"/>
  <c r="N559" i="1"/>
  <c r="M559" i="1"/>
  <c r="O558" i="1"/>
  <c r="O558" i="1" a="1"/>
  <c r="N558" i="1"/>
  <c r="M558" i="1"/>
  <c r="O557" i="1"/>
  <c r="O557" i="1" a="1"/>
  <c r="N557" i="1"/>
  <c r="M557" i="1"/>
  <c r="O556" i="1"/>
  <c r="O556" i="1" a="1"/>
  <c r="N556" i="1"/>
  <c r="M556" i="1"/>
  <c r="O555" i="1"/>
  <c r="O555" i="1" a="1"/>
  <c r="N555" i="1"/>
  <c r="M555" i="1"/>
  <c r="O554" i="1"/>
  <c r="O554" i="1" a="1"/>
  <c r="N554" i="1"/>
  <c r="M554" i="1"/>
  <c r="O553" i="1"/>
  <c r="O553" i="1" a="1"/>
  <c r="N553" i="1"/>
  <c r="M553" i="1"/>
  <c r="O552" i="1"/>
  <c r="O552" i="1" a="1"/>
  <c r="N552" i="1"/>
  <c r="M552" i="1"/>
  <c r="O551" i="1"/>
  <c r="O551" i="1" a="1"/>
  <c r="N551" i="1"/>
  <c r="M551" i="1"/>
  <c r="O550" i="1"/>
  <c r="O550" i="1" a="1"/>
  <c r="N550" i="1"/>
  <c r="M550" i="1"/>
  <c r="O549" i="1"/>
  <c r="O549" i="1" a="1"/>
  <c r="N549" i="1"/>
  <c r="M549" i="1"/>
  <c r="O548" i="1"/>
  <c r="O548" i="1" a="1"/>
  <c r="N548" i="1"/>
  <c r="M548" i="1"/>
  <c r="O547" i="1"/>
  <c r="O547" i="1" a="1"/>
  <c r="N547" i="1"/>
  <c r="M547" i="1"/>
  <c r="O546" i="1"/>
  <c r="O546" i="1" a="1"/>
  <c r="N546" i="1"/>
  <c r="M546" i="1"/>
  <c r="O545" i="1"/>
  <c r="O545" i="1" a="1"/>
  <c r="N545" i="1"/>
  <c r="M545" i="1"/>
  <c r="O544" i="1"/>
  <c r="O544" i="1" a="1"/>
  <c r="N544" i="1"/>
  <c r="M544" i="1"/>
  <c r="O543" i="1"/>
  <c r="O543" i="1" a="1"/>
  <c r="N543" i="1"/>
  <c r="M543" i="1"/>
  <c r="O542" i="1"/>
  <c r="O542" i="1" a="1"/>
  <c r="N542" i="1"/>
  <c r="M542" i="1"/>
  <c r="O541" i="1"/>
  <c r="O541" i="1" a="1"/>
  <c r="N541" i="1"/>
  <c r="M541" i="1"/>
  <c r="O540" i="1"/>
  <c r="O540" i="1" a="1"/>
  <c r="N540" i="1"/>
  <c r="M540" i="1"/>
  <c r="O539" i="1"/>
  <c r="O539" i="1" a="1"/>
  <c r="N539" i="1"/>
  <c r="M539" i="1"/>
  <c r="O538" i="1"/>
  <c r="O538" i="1" a="1"/>
  <c r="N538" i="1"/>
  <c r="M538" i="1"/>
  <c r="O537" i="1"/>
  <c r="O537" i="1" a="1"/>
  <c r="N537" i="1"/>
  <c r="M537" i="1"/>
  <c r="O536" i="1"/>
  <c r="O536" i="1" a="1"/>
  <c r="N536" i="1"/>
  <c r="M536" i="1"/>
  <c r="O535" i="1"/>
  <c r="O535" i="1" a="1"/>
  <c r="N535" i="1"/>
  <c r="M535" i="1"/>
  <c r="O534" i="1"/>
  <c r="O534" i="1" a="1"/>
  <c r="N534" i="1"/>
  <c r="M534" i="1"/>
  <c r="O533" i="1"/>
  <c r="O533" i="1" a="1"/>
  <c r="N533" i="1"/>
  <c r="M533" i="1"/>
  <c r="O532" i="1"/>
  <c r="O532" i="1" a="1"/>
  <c r="N532" i="1"/>
  <c r="M532" i="1"/>
  <c r="O531" i="1"/>
  <c r="O531" i="1" a="1"/>
  <c r="N531" i="1"/>
  <c r="M531" i="1"/>
  <c r="O530" i="1"/>
  <c r="O530" i="1" a="1"/>
  <c r="N530" i="1"/>
  <c r="M530" i="1"/>
  <c r="O529" i="1"/>
  <c r="O529" i="1" a="1"/>
  <c r="N529" i="1"/>
  <c r="M529" i="1"/>
  <c r="O528" i="1"/>
  <c r="O528" i="1" a="1"/>
  <c r="N528" i="1"/>
  <c r="M528" i="1"/>
  <c r="O527" i="1"/>
  <c r="O527" i="1" a="1"/>
  <c r="N527" i="1"/>
  <c r="M527" i="1"/>
  <c r="O526" i="1"/>
  <c r="O526" i="1" a="1"/>
  <c r="N526" i="1"/>
  <c r="M526" i="1"/>
  <c r="O525" i="1"/>
  <c r="O525" i="1" a="1"/>
  <c r="N525" i="1"/>
  <c r="M525" i="1"/>
  <c r="O524" i="1"/>
  <c r="O524" i="1" a="1"/>
  <c r="N524" i="1"/>
  <c r="M524" i="1"/>
  <c r="O523" i="1"/>
  <c r="O523" i="1" a="1"/>
  <c r="N523" i="1"/>
  <c r="M523" i="1"/>
  <c r="O522" i="1"/>
  <c r="O522" i="1" a="1"/>
  <c r="N522" i="1"/>
  <c r="M522" i="1"/>
  <c r="O521" i="1"/>
  <c r="O521" i="1" a="1"/>
  <c r="N521" i="1"/>
  <c r="M521" i="1"/>
  <c r="O520" i="1"/>
  <c r="O520" i="1" a="1"/>
  <c r="N520" i="1"/>
  <c r="M520" i="1"/>
  <c r="O519" i="1"/>
  <c r="O519" i="1" a="1"/>
  <c r="N519" i="1"/>
  <c r="M519" i="1"/>
  <c r="O518" i="1"/>
  <c r="O518" i="1" a="1"/>
  <c r="N518" i="1"/>
  <c r="M518" i="1"/>
  <c r="O517" i="1"/>
  <c r="O517" i="1" a="1"/>
  <c r="N517" i="1"/>
  <c r="M517" i="1"/>
  <c r="O516" i="1"/>
  <c r="O516" i="1" a="1"/>
  <c r="N516" i="1"/>
  <c r="M516" i="1"/>
  <c r="O515" i="1"/>
  <c r="O515" i="1" a="1"/>
  <c r="N515" i="1"/>
  <c r="M515" i="1"/>
  <c r="O514" i="1"/>
  <c r="O514" i="1" a="1"/>
  <c r="N514" i="1"/>
  <c r="M514" i="1"/>
  <c r="O513" i="1"/>
  <c r="O513" i="1" a="1"/>
  <c r="N513" i="1"/>
  <c r="M513" i="1"/>
  <c r="O512" i="1"/>
  <c r="O512" i="1" a="1"/>
  <c r="N512" i="1"/>
  <c r="M512" i="1"/>
  <c r="O511" i="1"/>
  <c r="O511" i="1" a="1"/>
  <c r="N511" i="1"/>
  <c r="M511" i="1"/>
  <c r="O510" i="1"/>
  <c r="O510" i="1" a="1"/>
  <c r="N510" i="1"/>
  <c r="M510" i="1"/>
  <c r="O509" i="1"/>
  <c r="O509" i="1" a="1"/>
  <c r="N509" i="1"/>
  <c r="M509" i="1"/>
  <c r="O508" i="1"/>
  <c r="O508" i="1" a="1"/>
  <c r="N508" i="1"/>
  <c r="M508" i="1"/>
  <c r="O507" i="1"/>
  <c r="O507" i="1" a="1"/>
  <c r="N507" i="1"/>
  <c r="M507" i="1"/>
  <c r="O506" i="1"/>
  <c r="O506" i="1" a="1"/>
  <c r="N506" i="1"/>
  <c r="M506" i="1"/>
  <c r="O505" i="1"/>
  <c r="O505" i="1" a="1"/>
  <c r="N505" i="1"/>
  <c r="M505" i="1"/>
  <c r="O504" i="1"/>
  <c r="O504" i="1" a="1"/>
  <c r="N504" i="1"/>
  <c r="M504" i="1"/>
  <c r="O503" i="1"/>
  <c r="O503" i="1" a="1"/>
  <c r="N503" i="1"/>
  <c r="M503" i="1"/>
  <c r="O502" i="1"/>
  <c r="O502" i="1" a="1"/>
  <c r="N502" i="1"/>
  <c r="M502" i="1"/>
  <c r="O501" i="1"/>
  <c r="O501" i="1" a="1"/>
  <c r="N501" i="1"/>
  <c r="M501" i="1"/>
  <c r="O500" i="1"/>
  <c r="O500" i="1" a="1"/>
  <c r="N500" i="1"/>
  <c r="M500" i="1"/>
  <c r="O499" i="1"/>
  <c r="O499" i="1" a="1"/>
  <c r="N499" i="1"/>
  <c r="M499" i="1"/>
  <c r="O498" i="1"/>
  <c r="O498" i="1" a="1"/>
  <c r="N498" i="1"/>
  <c r="M498" i="1"/>
  <c r="O497" i="1"/>
  <c r="O497" i="1" a="1"/>
  <c r="N497" i="1"/>
  <c r="M497" i="1"/>
  <c r="O496" i="1"/>
  <c r="O496" i="1" a="1"/>
  <c r="N496" i="1"/>
  <c r="M496" i="1"/>
  <c r="O495" i="1"/>
  <c r="O495" i="1" a="1"/>
  <c r="N495" i="1"/>
  <c r="M495" i="1"/>
  <c r="O494" i="1"/>
  <c r="O494" i="1" a="1"/>
  <c r="N494" i="1"/>
  <c r="M494" i="1"/>
  <c r="O493" i="1"/>
  <c r="O493" i="1" a="1"/>
  <c r="N493" i="1"/>
  <c r="M493" i="1"/>
  <c r="O492" i="1"/>
  <c r="O492" i="1" a="1"/>
  <c r="N492" i="1"/>
  <c r="M492" i="1"/>
  <c r="O491" i="1"/>
  <c r="O491" i="1" a="1"/>
  <c r="N491" i="1"/>
  <c r="M491" i="1"/>
  <c r="O490" i="1"/>
  <c r="O490" i="1" a="1"/>
  <c r="N490" i="1"/>
  <c r="M490" i="1"/>
  <c r="O489" i="1"/>
  <c r="O489" i="1" a="1"/>
  <c r="N489" i="1"/>
  <c r="M489" i="1"/>
  <c r="O488" i="1"/>
  <c r="O488" i="1" a="1"/>
  <c r="N488" i="1"/>
  <c r="M488" i="1"/>
  <c r="O487" i="1"/>
  <c r="O487" i="1" a="1"/>
  <c r="N487" i="1"/>
  <c r="M487" i="1"/>
  <c r="O486" i="1"/>
  <c r="O486" i="1" a="1"/>
  <c r="N486" i="1"/>
  <c r="M486" i="1"/>
  <c r="O485" i="1"/>
  <c r="O485" i="1" a="1"/>
  <c r="N485" i="1"/>
  <c r="M485" i="1"/>
  <c r="O484" i="1"/>
  <c r="O484" i="1" a="1"/>
  <c r="N484" i="1"/>
  <c r="M484" i="1"/>
  <c r="O483" i="1"/>
  <c r="O483" i="1" a="1"/>
  <c r="N483" i="1"/>
  <c r="M483" i="1"/>
  <c r="O482" i="1"/>
  <c r="O482" i="1" a="1"/>
  <c r="N482" i="1"/>
  <c r="M482" i="1"/>
  <c r="O481" i="1"/>
  <c r="O481" i="1" a="1"/>
  <c r="N481" i="1"/>
  <c r="M481" i="1"/>
  <c r="O480" i="1"/>
  <c r="O480" i="1" a="1"/>
  <c r="N480" i="1"/>
  <c r="M480" i="1"/>
  <c r="O479" i="1"/>
  <c r="O479" i="1" a="1"/>
  <c r="N479" i="1"/>
  <c r="M479" i="1"/>
  <c r="O478" i="1"/>
  <c r="O478" i="1" a="1"/>
  <c r="N478" i="1"/>
  <c r="M478" i="1"/>
  <c r="O477" i="1"/>
  <c r="O477" i="1" a="1"/>
  <c r="N477" i="1"/>
  <c r="M477" i="1"/>
  <c r="O476" i="1"/>
  <c r="O476" i="1" a="1"/>
  <c r="N476" i="1"/>
  <c r="M476" i="1"/>
  <c r="O475" i="1"/>
  <c r="O475" i="1" a="1"/>
  <c r="N475" i="1"/>
  <c r="M475" i="1"/>
  <c r="O474" i="1"/>
  <c r="O474" i="1" a="1"/>
  <c r="N474" i="1"/>
  <c r="M474" i="1"/>
  <c r="O473" i="1"/>
  <c r="O473" i="1" a="1"/>
  <c r="N473" i="1"/>
  <c r="M473" i="1"/>
  <c r="O472" i="1"/>
  <c r="O472" i="1" a="1"/>
  <c r="N472" i="1"/>
  <c r="M472" i="1"/>
  <c r="O471" i="1"/>
  <c r="O471" i="1" a="1"/>
  <c r="N471" i="1"/>
  <c r="M471" i="1"/>
  <c r="O470" i="1"/>
  <c r="O470" i="1" a="1"/>
  <c r="N470" i="1"/>
  <c r="M470" i="1"/>
  <c r="O469" i="1"/>
  <c r="O469" i="1" a="1"/>
  <c r="N469" i="1"/>
  <c r="M469" i="1"/>
  <c r="O468" i="1"/>
  <c r="O468" i="1" a="1"/>
  <c r="N468" i="1"/>
  <c r="M468" i="1"/>
  <c r="O467" i="1"/>
  <c r="O467" i="1" a="1"/>
  <c r="N467" i="1"/>
  <c r="M467" i="1"/>
  <c r="O466" i="1"/>
  <c r="O466" i="1" a="1"/>
  <c r="N466" i="1"/>
  <c r="M466" i="1"/>
  <c r="O465" i="1"/>
  <c r="O465" i="1" a="1"/>
  <c r="N465" i="1"/>
  <c r="M465" i="1"/>
  <c r="O464" i="1"/>
  <c r="O464" i="1" a="1"/>
  <c r="N464" i="1"/>
  <c r="M464" i="1"/>
  <c r="O463" i="1"/>
  <c r="O463" i="1" a="1"/>
  <c r="N463" i="1"/>
  <c r="M463" i="1"/>
  <c r="O462" i="1"/>
  <c r="O462" i="1" a="1"/>
  <c r="N462" i="1"/>
  <c r="M462" i="1"/>
  <c r="O461" i="1"/>
  <c r="O461" i="1" a="1"/>
  <c r="N461" i="1"/>
  <c r="M461" i="1"/>
  <c r="O460" i="1"/>
  <c r="O460" i="1" a="1"/>
  <c r="N460" i="1"/>
  <c r="M460" i="1"/>
  <c r="O459" i="1"/>
  <c r="O459" i="1" a="1"/>
  <c r="N459" i="1"/>
  <c r="M459" i="1"/>
  <c r="O458" i="1"/>
  <c r="O458" i="1" a="1"/>
  <c r="N458" i="1"/>
  <c r="M458" i="1"/>
  <c r="O457" i="1"/>
  <c r="O457" i="1" a="1"/>
  <c r="N457" i="1"/>
  <c r="M457" i="1"/>
  <c r="O456" i="1"/>
  <c r="O456" i="1" a="1"/>
  <c r="N456" i="1"/>
  <c r="M456" i="1"/>
  <c r="O455" i="1"/>
  <c r="O455" i="1" a="1"/>
  <c r="N455" i="1"/>
  <c r="M455" i="1"/>
  <c r="O454" i="1"/>
  <c r="O454" i="1" a="1"/>
  <c r="N454" i="1"/>
  <c r="M454" i="1"/>
  <c r="O453" i="1"/>
  <c r="O453" i="1" a="1"/>
  <c r="N453" i="1"/>
  <c r="M453" i="1"/>
  <c r="O452" i="1"/>
  <c r="O452" i="1" a="1"/>
  <c r="N452" i="1"/>
  <c r="M452" i="1"/>
  <c r="O451" i="1"/>
  <c r="O451" i="1" a="1"/>
  <c r="N451" i="1"/>
  <c r="M451" i="1"/>
  <c r="O450" i="1"/>
  <c r="O450" i="1" a="1"/>
  <c r="N450" i="1"/>
  <c r="M450" i="1"/>
  <c r="O449" i="1"/>
  <c r="O449" i="1" a="1"/>
  <c r="N449" i="1"/>
  <c r="M449" i="1"/>
  <c r="O448" i="1"/>
  <c r="O448" i="1" a="1"/>
  <c r="N448" i="1"/>
  <c r="M448" i="1"/>
  <c r="O447" i="1"/>
  <c r="O447" i="1" a="1"/>
  <c r="N447" i="1"/>
  <c r="M447" i="1"/>
  <c r="O446" i="1"/>
  <c r="O446" i="1" a="1"/>
  <c r="N446" i="1"/>
  <c r="M446" i="1"/>
  <c r="O445" i="1"/>
  <c r="O445" i="1" a="1"/>
  <c r="N445" i="1"/>
  <c r="M445" i="1"/>
  <c r="O444" i="1"/>
  <c r="O444" i="1" a="1"/>
  <c r="N444" i="1"/>
  <c r="M444" i="1"/>
  <c r="O443" i="1"/>
  <c r="O443" i="1" a="1"/>
  <c r="N443" i="1"/>
  <c r="M443" i="1"/>
  <c r="O442" i="1"/>
  <c r="O442" i="1" a="1"/>
  <c r="N442" i="1"/>
  <c r="M442" i="1"/>
  <c r="O441" i="1"/>
  <c r="O441" i="1" a="1"/>
  <c r="N441" i="1"/>
  <c r="M441" i="1"/>
  <c r="O440" i="1"/>
  <c r="O440" i="1" a="1"/>
  <c r="N440" i="1"/>
  <c r="M440" i="1"/>
  <c r="O439" i="1"/>
  <c r="O439" i="1" a="1"/>
  <c r="N439" i="1"/>
  <c r="M439" i="1"/>
  <c r="O438" i="1"/>
  <c r="O438" i="1" a="1"/>
  <c r="N438" i="1"/>
  <c r="M438" i="1"/>
  <c r="O437" i="1"/>
  <c r="O437" i="1" a="1"/>
  <c r="N437" i="1"/>
  <c r="M437" i="1"/>
  <c r="O436" i="1"/>
  <c r="O436" i="1" a="1"/>
  <c r="N436" i="1"/>
  <c r="M436" i="1"/>
  <c r="O435" i="1"/>
  <c r="O435" i="1" a="1"/>
  <c r="N435" i="1"/>
  <c r="M435" i="1"/>
  <c r="O434" i="1"/>
  <c r="O434" i="1" a="1"/>
  <c r="N434" i="1"/>
  <c r="M434" i="1"/>
  <c r="O433" i="1"/>
  <c r="O433" i="1" a="1"/>
  <c r="N433" i="1"/>
  <c r="M433" i="1"/>
  <c r="O432" i="1"/>
  <c r="O432" i="1" a="1"/>
  <c r="N432" i="1"/>
  <c r="M432" i="1"/>
  <c r="O431" i="1"/>
  <c r="O431" i="1" a="1"/>
  <c r="N431" i="1"/>
  <c r="M431" i="1"/>
  <c r="O430" i="1"/>
  <c r="O430" i="1" a="1"/>
  <c r="N430" i="1"/>
  <c r="M430" i="1"/>
  <c r="O429" i="1"/>
  <c r="O429" i="1" a="1"/>
  <c r="N429" i="1"/>
  <c r="M429" i="1"/>
  <c r="O428" i="1"/>
  <c r="O428" i="1" a="1"/>
  <c r="N428" i="1"/>
  <c r="M428" i="1"/>
  <c r="O427" i="1"/>
  <c r="O427" i="1" a="1"/>
  <c r="N427" i="1"/>
  <c r="M427" i="1"/>
  <c r="O426" i="1"/>
  <c r="O426" i="1" a="1"/>
  <c r="N426" i="1"/>
  <c r="M426" i="1"/>
  <c r="O425" i="1"/>
  <c r="O425" i="1" a="1"/>
  <c r="N425" i="1"/>
  <c r="M425" i="1"/>
  <c r="O424" i="1"/>
  <c r="O424" i="1" a="1"/>
  <c r="N424" i="1"/>
  <c r="M424" i="1"/>
  <c r="O423" i="1"/>
  <c r="O423" i="1" a="1"/>
  <c r="N423" i="1"/>
  <c r="M423" i="1"/>
  <c r="O422" i="1"/>
  <c r="O422" i="1" a="1"/>
  <c r="N422" i="1"/>
  <c r="M422" i="1"/>
  <c r="O421" i="1"/>
  <c r="O421" i="1" a="1"/>
  <c r="N421" i="1"/>
  <c r="M421" i="1"/>
  <c r="O420" i="1"/>
  <c r="O420" i="1" a="1"/>
  <c r="N420" i="1"/>
  <c r="M420" i="1"/>
  <c r="O419" i="1"/>
  <c r="O419" i="1" a="1"/>
  <c r="N419" i="1"/>
  <c r="M419" i="1"/>
  <c r="O418" i="1"/>
  <c r="O418" i="1" a="1"/>
  <c r="N418" i="1"/>
  <c r="M418" i="1"/>
  <c r="O417" i="1"/>
  <c r="O417" i="1" a="1"/>
  <c r="N417" i="1"/>
  <c r="M417" i="1"/>
  <c r="O416" i="1"/>
  <c r="O416" i="1" a="1"/>
  <c r="N416" i="1"/>
  <c r="M416" i="1"/>
  <c r="O415" i="1"/>
  <c r="O415" i="1" a="1"/>
  <c r="N415" i="1"/>
  <c r="M415" i="1"/>
  <c r="O414" i="1"/>
  <c r="O414" i="1" a="1"/>
  <c r="N414" i="1"/>
  <c r="M414" i="1"/>
  <c r="O413" i="1"/>
  <c r="O413" i="1" a="1"/>
  <c r="N413" i="1"/>
  <c r="M413" i="1"/>
  <c r="O412" i="1"/>
  <c r="O412" i="1" a="1"/>
  <c r="N412" i="1"/>
  <c r="M412" i="1"/>
  <c r="O411" i="1"/>
  <c r="O411" i="1" a="1"/>
  <c r="N411" i="1"/>
  <c r="M411" i="1"/>
  <c r="O410" i="1"/>
  <c r="O410" i="1" a="1"/>
  <c r="N410" i="1"/>
  <c r="M410" i="1"/>
  <c r="O409" i="1"/>
  <c r="O409" i="1" a="1"/>
  <c r="N409" i="1"/>
  <c r="M409" i="1"/>
  <c r="O408" i="1"/>
  <c r="O408" i="1" a="1"/>
  <c r="N408" i="1"/>
  <c r="M408" i="1"/>
  <c r="O407" i="1"/>
  <c r="O407" i="1" a="1"/>
  <c r="N407" i="1"/>
  <c r="M407" i="1"/>
  <c r="O406" i="1"/>
  <c r="O406" i="1" a="1"/>
  <c r="N406" i="1"/>
  <c r="M406" i="1"/>
  <c r="O405" i="1"/>
  <c r="O405" i="1" a="1"/>
  <c r="N405" i="1"/>
  <c r="M405" i="1"/>
  <c r="O404" i="1"/>
  <c r="O404" i="1" a="1"/>
  <c r="N404" i="1"/>
  <c r="M404" i="1"/>
  <c r="O403" i="1"/>
  <c r="O403" i="1" a="1"/>
  <c r="N403" i="1"/>
  <c r="M403" i="1"/>
  <c r="O402" i="1"/>
  <c r="O402" i="1" a="1"/>
  <c r="N402" i="1"/>
  <c r="M402" i="1"/>
  <c r="O401" i="1"/>
  <c r="O401" i="1" a="1"/>
  <c r="N401" i="1"/>
  <c r="M401" i="1"/>
  <c r="O400" i="1"/>
  <c r="O400" i="1" a="1"/>
  <c r="N400" i="1"/>
  <c r="M400" i="1"/>
  <c r="O399" i="1"/>
  <c r="O399" i="1" a="1"/>
  <c r="N399" i="1"/>
  <c r="M399" i="1"/>
  <c r="O398" i="1"/>
  <c r="O398" i="1" a="1"/>
  <c r="N398" i="1"/>
  <c r="M398" i="1"/>
  <c r="O397" i="1"/>
  <c r="O397" i="1" a="1"/>
  <c r="N397" i="1"/>
  <c r="M397" i="1"/>
  <c r="O396" i="1"/>
  <c r="O396" i="1" a="1"/>
  <c r="N396" i="1"/>
  <c r="M396" i="1"/>
  <c r="O395" i="1"/>
  <c r="O395" i="1" a="1"/>
  <c r="N395" i="1"/>
  <c r="M395" i="1"/>
  <c r="O394" i="1"/>
  <c r="O394" i="1" a="1"/>
  <c r="N394" i="1"/>
  <c r="M394" i="1"/>
  <c r="O393" i="1"/>
  <c r="O393" i="1" a="1"/>
  <c r="N393" i="1"/>
  <c r="M393" i="1"/>
  <c r="O392" i="1"/>
  <c r="O392" i="1" a="1"/>
  <c r="N392" i="1"/>
  <c r="M392" i="1"/>
  <c r="O391" i="1"/>
  <c r="O391" i="1" a="1"/>
  <c r="N391" i="1"/>
  <c r="M391" i="1"/>
  <c r="O390" i="1"/>
  <c r="O390" i="1" a="1"/>
  <c r="N390" i="1"/>
  <c r="M390" i="1"/>
  <c r="O389" i="1"/>
  <c r="O389" i="1" a="1"/>
  <c r="N389" i="1"/>
  <c r="M389" i="1"/>
  <c r="O388" i="1"/>
  <c r="O388" i="1" a="1"/>
  <c r="N388" i="1"/>
  <c r="M388" i="1"/>
  <c r="O387" i="1"/>
  <c r="O387" i="1" a="1"/>
  <c r="N387" i="1"/>
  <c r="M387" i="1"/>
  <c r="O386" i="1"/>
  <c r="O386" i="1" a="1"/>
  <c r="N386" i="1"/>
  <c r="M386" i="1"/>
  <c r="O385" i="1"/>
  <c r="O385" i="1" a="1"/>
  <c r="N385" i="1"/>
  <c r="M385" i="1"/>
  <c r="O384" i="1"/>
  <c r="O384" i="1" a="1"/>
  <c r="N384" i="1"/>
  <c r="M384" i="1"/>
  <c r="O383" i="1"/>
  <c r="O383" i="1" a="1"/>
  <c r="N383" i="1"/>
  <c r="M383" i="1"/>
  <c r="O382" i="1"/>
  <c r="O382" i="1" a="1"/>
  <c r="N382" i="1"/>
  <c r="M382" i="1"/>
  <c r="O381" i="1"/>
  <c r="O381" i="1" a="1"/>
  <c r="N381" i="1"/>
  <c r="M381" i="1"/>
  <c r="O380" i="1"/>
  <c r="O380" i="1" a="1"/>
  <c r="N380" i="1"/>
  <c r="M380" i="1"/>
  <c r="O379" i="1"/>
  <c r="O379" i="1" a="1"/>
  <c r="N379" i="1"/>
  <c r="M379" i="1"/>
  <c r="O378" i="1"/>
  <c r="O378" i="1" a="1"/>
  <c r="N378" i="1"/>
  <c r="M378" i="1"/>
  <c r="O377" i="1"/>
  <c r="O377" i="1" a="1"/>
  <c r="N377" i="1"/>
  <c r="M377" i="1"/>
  <c r="O376" i="1"/>
  <c r="O376" i="1" a="1"/>
  <c r="N376" i="1"/>
  <c r="M376" i="1"/>
  <c r="O375" i="1"/>
  <c r="O375" i="1" a="1"/>
  <c r="N375" i="1"/>
  <c r="M375" i="1"/>
  <c r="O374" i="1"/>
  <c r="O374" i="1" a="1"/>
  <c r="N374" i="1"/>
  <c r="M374" i="1"/>
  <c r="O373" i="1"/>
  <c r="O373" i="1" a="1"/>
  <c r="N373" i="1"/>
  <c r="M373" i="1"/>
  <c r="O372" i="1"/>
  <c r="O372" i="1" a="1"/>
  <c r="N372" i="1"/>
  <c r="M372" i="1"/>
  <c r="O371" i="1"/>
  <c r="O371" i="1" a="1"/>
  <c r="N371" i="1"/>
  <c r="M371" i="1"/>
  <c r="O370" i="1"/>
  <c r="O370" i="1" a="1"/>
  <c r="N370" i="1"/>
  <c r="M370" i="1"/>
  <c r="O369" i="1"/>
  <c r="O369" i="1" a="1"/>
  <c r="N369" i="1"/>
  <c r="M369" i="1"/>
  <c r="O368" i="1"/>
  <c r="O368" i="1" a="1"/>
  <c r="N368" i="1"/>
  <c r="M368" i="1"/>
  <c r="O367" i="1"/>
  <c r="O367" i="1" a="1"/>
  <c r="N367" i="1"/>
  <c r="M367" i="1"/>
  <c r="O366" i="1"/>
  <c r="O366" i="1" a="1"/>
  <c r="N366" i="1"/>
  <c r="M366" i="1"/>
  <c r="O365" i="1"/>
  <c r="O365" i="1" a="1"/>
  <c r="N365" i="1"/>
  <c r="M365" i="1"/>
  <c r="O364" i="1"/>
  <c r="O364" i="1" a="1"/>
  <c r="N364" i="1"/>
  <c r="M364" i="1"/>
  <c r="O363" i="1"/>
  <c r="O363" i="1" a="1"/>
  <c r="N363" i="1"/>
  <c r="M363" i="1"/>
  <c r="O362" i="1"/>
  <c r="O362" i="1" a="1"/>
  <c r="N362" i="1"/>
  <c r="M362" i="1"/>
  <c r="O361" i="1"/>
  <c r="O361" i="1" a="1"/>
  <c r="N361" i="1"/>
  <c r="M361" i="1"/>
  <c r="O360" i="1"/>
  <c r="O360" i="1" a="1"/>
  <c r="N360" i="1"/>
  <c r="M360" i="1"/>
  <c r="O359" i="1"/>
  <c r="O359" i="1" a="1"/>
  <c r="N359" i="1"/>
  <c r="M359" i="1"/>
  <c r="O358" i="1"/>
  <c r="O358" i="1" a="1"/>
  <c r="N358" i="1"/>
  <c r="M358" i="1"/>
  <c r="O357" i="1"/>
  <c r="O357" i="1" a="1"/>
  <c r="N357" i="1"/>
  <c r="M357" i="1"/>
  <c r="O356" i="1"/>
  <c r="O356" i="1" a="1"/>
  <c r="N356" i="1"/>
  <c r="M356" i="1"/>
  <c r="O355" i="1"/>
  <c r="O355" i="1" a="1"/>
  <c r="N355" i="1"/>
  <c r="M355" i="1"/>
  <c r="O354" i="1"/>
  <c r="O354" i="1" a="1"/>
  <c r="N354" i="1"/>
  <c r="M354" i="1"/>
  <c r="O353" i="1"/>
  <c r="O353" i="1" a="1"/>
  <c r="N353" i="1"/>
  <c r="M353" i="1"/>
  <c r="O352" i="1"/>
  <c r="O352" i="1" a="1"/>
  <c r="N352" i="1"/>
  <c r="M352" i="1"/>
  <c r="O351" i="1"/>
  <c r="O351" i="1" a="1"/>
  <c r="N351" i="1"/>
  <c r="M351" i="1"/>
  <c r="O350" i="1"/>
  <c r="O350" i="1" a="1"/>
  <c r="N350" i="1"/>
  <c r="M350" i="1"/>
  <c r="O349" i="1"/>
  <c r="O349" i="1" a="1"/>
  <c r="N349" i="1"/>
  <c r="M349" i="1"/>
  <c r="O348" i="1"/>
  <c r="O348" i="1" a="1"/>
  <c r="N348" i="1"/>
  <c r="M348" i="1"/>
  <c r="O347" i="1"/>
  <c r="O347" i="1" a="1"/>
  <c r="N347" i="1"/>
  <c r="M347" i="1"/>
  <c r="O346" i="1"/>
  <c r="O346" i="1" a="1"/>
  <c r="N346" i="1"/>
  <c r="M346" i="1"/>
  <c r="O345" i="1"/>
  <c r="O345" i="1" a="1"/>
  <c r="N345" i="1"/>
  <c r="M345" i="1"/>
  <c r="O344" i="1"/>
  <c r="O344" i="1" a="1"/>
  <c r="N344" i="1"/>
  <c r="M344" i="1"/>
  <c r="O343" i="1"/>
  <c r="O343" i="1" a="1"/>
  <c r="N343" i="1"/>
  <c r="M343" i="1"/>
  <c r="O342" i="1"/>
  <c r="O342" i="1" a="1"/>
  <c r="N342" i="1"/>
  <c r="M342" i="1"/>
  <c r="O341" i="1"/>
  <c r="O341" i="1" a="1"/>
  <c r="N341" i="1"/>
  <c r="M341" i="1"/>
  <c r="O340" i="1"/>
  <c r="O340" i="1" a="1"/>
  <c r="N340" i="1"/>
  <c r="M340" i="1"/>
  <c r="O339" i="1"/>
  <c r="O339" i="1" a="1"/>
  <c r="N339" i="1"/>
  <c r="M339" i="1"/>
  <c r="O338" i="1"/>
  <c r="O338" i="1" a="1"/>
  <c r="N338" i="1"/>
  <c r="M338" i="1"/>
  <c r="O337" i="1"/>
  <c r="O337" i="1" a="1"/>
  <c r="N337" i="1"/>
  <c r="M337" i="1"/>
  <c r="O336" i="1"/>
  <c r="O336" i="1" a="1"/>
  <c r="N336" i="1"/>
  <c r="M336" i="1"/>
  <c r="O335" i="1"/>
  <c r="O335" i="1" a="1"/>
  <c r="N335" i="1"/>
  <c r="M335" i="1"/>
  <c r="O334" i="1"/>
  <c r="O334" i="1" a="1"/>
  <c r="N334" i="1"/>
  <c r="M334" i="1"/>
  <c r="O333" i="1"/>
  <c r="O333" i="1" a="1"/>
  <c r="N333" i="1"/>
  <c r="M333" i="1"/>
  <c r="O332" i="1"/>
  <c r="O332" i="1" a="1"/>
  <c r="N332" i="1"/>
  <c r="M332" i="1"/>
  <c r="O331" i="1"/>
  <c r="O331" i="1" a="1"/>
  <c r="N331" i="1"/>
  <c r="M331" i="1"/>
  <c r="O330" i="1"/>
  <c r="O330" i="1" a="1"/>
  <c r="N330" i="1"/>
  <c r="M330" i="1"/>
  <c r="O329" i="1"/>
  <c r="O329" i="1" a="1"/>
  <c r="N329" i="1"/>
  <c r="M329" i="1"/>
  <c r="O328" i="1"/>
  <c r="O328" i="1" a="1"/>
  <c r="N328" i="1"/>
  <c r="M328" i="1"/>
  <c r="O327" i="1"/>
  <c r="O327" i="1" a="1"/>
  <c r="N327" i="1"/>
  <c r="M327" i="1"/>
  <c r="O326" i="1"/>
  <c r="O326" i="1" a="1"/>
  <c r="N326" i="1"/>
  <c r="M326" i="1"/>
  <c r="O325" i="1"/>
  <c r="O325" i="1" a="1"/>
  <c r="N325" i="1"/>
  <c r="M325" i="1"/>
  <c r="O324" i="1"/>
  <c r="O324" i="1" a="1"/>
  <c r="N324" i="1"/>
  <c r="M324" i="1"/>
  <c r="O323" i="1"/>
  <c r="O323" i="1" a="1"/>
  <c r="N323" i="1"/>
  <c r="M323" i="1"/>
  <c r="O322" i="1"/>
  <c r="O322" i="1" a="1"/>
  <c r="N322" i="1"/>
  <c r="M322" i="1"/>
  <c r="O321" i="1"/>
  <c r="O321" i="1" a="1"/>
  <c r="N321" i="1"/>
  <c r="M321" i="1"/>
  <c r="O320" i="1"/>
  <c r="O320" i="1" a="1"/>
  <c r="N320" i="1"/>
  <c r="M320" i="1"/>
  <c r="O319" i="1"/>
  <c r="O319" i="1" a="1"/>
  <c r="N319" i="1"/>
  <c r="M319" i="1"/>
  <c r="O318" i="1"/>
  <c r="O318" i="1" a="1"/>
  <c r="N318" i="1"/>
  <c r="M318" i="1"/>
  <c r="O317" i="1"/>
  <c r="O317" i="1" a="1"/>
  <c r="N317" i="1"/>
  <c r="M317" i="1"/>
  <c r="O316" i="1"/>
  <c r="O316" i="1" a="1"/>
  <c r="N316" i="1"/>
  <c r="M316" i="1"/>
  <c r="O315" i="1"/>
  <c r="O315" i="1" a="1"/>
  <c r="N315" i="1"/>
  <c r="M315" i="1"/>
  <c r="O314" i="1"/>
  <c r="O314" i="1" a="1"/>
  <c r="N314" i="1"/>
  <c r="M314" i="1"/>
  <c r="O313" i="1"/>
  <c r="O313" i="1" a="1"/>
  <c r="N313" i="1"/>
  <c r="M313" i="1"/>
  <c r="O312" i="1"/>
  <c r="O312" i="1" a="1"/>
  <c r="N312" i="1"/>
  <c r="M312" i="1"/>
  <c r="O311" i="1"/>
  <c r="O311" i="1" a="1"/>
  <c r="N311" i="1"/>
  <c r="M311" i="1"/>
  <c r="O310" i="1"/>
  <c r="O310" i="1" a="1"/>
  <c r="N310" i="1"/>
  <c r="M310" i="1"/>
  <c r="O309" i="1"/>
  <c r="O309" i="1" a="1"/>
  <c r="N309" i="1"/>
  <c r="M309" i="1"/>
  <c r="O308" i="1"/>
  <c r="O308" i="1" a="1"/>
  <c r="N308" i="1"/>
  <c r="M308" i="1"/>
  <c r="O307" i="1"/>
  <c r="O307" i="1" a="1"/>
  <c r="N307" i="1"/>
  <c r="M307" i="1"/>
  <c r="O306" i="1"/>
  <c r="O306" i="1" a="1"/>
  <c r="N306" i="1"/>
  <c r="M306" i="1"/>
  <c r="O305" i="1"/>
  <c r="O305" i="1" a="1"/>
  <c r="N305" i="1"/>
  <c r="M305" i="1"/>
  <c r="O304" i="1"/>
  <c r="O304" i="1" a="1"/>
  <c r="N304" i="1"/>
  <c r="M304" i="1"/>
  <c r="O303" i="1"/>
  <c r="O303" i="1" a="1"/>
  <c r="N303" i="1"/>
  <c r="M303" i="1"/>
  <c r="O302" i="1"/>
  <c r="O302" i="1" a="1"/>
  <c r="N302" i="1"/>
  <c r="M302" i="1"/>
  <c r="O301" i="1"/>
  <c r="O301" i="1" a="1"/>
  <c r="N301" i="1"/>
  <c r="M301" i="1"/>
  <c r="O300" i="1"/>
  <c r="O300" i="1" a="1"/>
  <c r="N300" i="1"/>
  <c r="M300" i="1"/>
  <c r="O299" i="1"/>
  <c r="O299" i="1" a="1"/>
  <c r="N299" i="1"/>
  <c r="M299" i="1"/>
  <c r="O298" i="1"/>
  <c r="O298" i="1" a="1"/>
  <c r="N298" i="1"/>
  <c r="M298" i="1"/>
  <c r="O297" i="1"/>
  <c r="O297" i="1" a="1"/>
  <c r="N297" i="1"/>
  <c r="M297" i="1"/>
  <c r="O296" i="1"/>
  <c r="O296" i="1" a="1"/>
  <c r="N296" i="1"/>
  <c r="M296" i="1"/>
  <c r="O295" i="1"/>
  <c r="O295" i="1" a="1"/>
  <c r="N295" i="1"/>
  <c r="M295" i="1"/>
  <c r="O294" i="1"/>
  <c r="O294" i="1" a="1"/>
  <c r="N294" i="1"/>
  <c r="M294" i="1"/>
  <c r="O293" i="1"/>
  <c r="O293" i="1" a="1"/>
  <c r="N293" i="1"/>
  <c r="M293" i="1"/>
  <c r="O292" i="1"/>
  <c r="O292" i="1" a="1"/>
  <c r="N292" i="1"/>
  <c r="M292" i="1"/>
  <c r="O291" i="1"/>
  <c r="O291" i="1" a="1"/>
  <c r="N291" i="1"/>
  <c r="M291" i="1"/>
  <c r="O290" i="1"/>
  <c r="O290" i="1" a="1"/>
  <c r="N290" i="1"/>
  <c r="M290" i="1"/>
  <c r="O289" i="1"/>
  <c r="O289" i="1" a="1"/>
  <c r="N289" i="1"/>
  <c r="M289" i="1"/>
  <c r="O288" i="1"/>
  <c r="O288" i="1" a="1"/>
  <c r="N288" i="1"/>
  <c r="M288" i="1"/>
  <c r="O287" i="1"/>
  <c r="O287" i="1" a="1"/>
  <c r="N287" i="1"/>
  <c r="M287" i="1"/>
  <c r="O286" i="1"/>
  <c r="O286" i="1" a="1"/>
  <c r="N286" i="1"/>
  <c r="M286" i="1"/>
  <c r="O285" i="1"/>
  <c r="O285" i="1" a="1"/>
  <c r="N285" i="1"/>
  <c r="M285" i="1"/>
  <c r="O284" i="1"/>
  <c r="O284" i="1" a="1"/>
  <c r="N284" i="1"/>
  <c r="M284" i="1"/>
  <c r="O283" i="1"/>
  <c r="O283" i="1" a="1"/>
  <c r="N283" i="1"/>
  <c r="M283" i="1"/>
  <c r="O282" i="1"/>
  <c r="O282" i="1" a="1"/>
  <c r="N282" i="1"/>
  <c r="M282" i="1"/>
  <c r="O281" i="1"/>
  <c r="O281" i="1" a="1"/>
  <c r="N281" i="1"/>
  <c r="M281" i="1"/>
  <c r="O280" i="1"/>
  <c r="O280" i="1" a="1"/>
  <c r="N280" i="1"/>
  <c r="M280" i="1"/>
  <c r="O279" i="1"/>
  <c r="O279" i="1" a="1"/>
  <c r="N279" i="1"/>
  <c r="M279" i="1"/>
  <c r="O278" i="1"/>
  <c r="O278" i="1" a="1"/>
  <c r="N278" i="1"/>
  <c r="M278" i="1"/>
  <c r="O277" i="1"/>
  <c r="O277" i="1" a="1"/>
  <c r="N277" i="1"/>
  <c r="M277" i="1"/>
  <c r="O276" i="1"/>
  <c r="O276" i="1" a="1"/>
  <c r="N276" i="1"/>
  <c r="M276" i="1"/>
  <c r="O275" i="1"/>
  <c r="O275" i="1" a="1"/>
  <c r="N275" i="1"/>
  <c r="M275" i="1"/>
  <c r="O274" i="1"/>
  <c r="O274" i="1" a="1"/>
  <c r="N274" i="1"/>
  <c r="M274" i="1"/>
  <c r="O273" i="1"/>
  <c r="O273" i="1" a="1"/>
  <c r="N273" i="1"/>
  <c r="M273" i="1"/>
  <c r="O272" i="1"/>
  <c r="O272" i="1" a="1"/>
  <c r="N272" i="1"/>
  <c r="M272" i="1"/>
  <c r="O271" i="1"/>
  <c r="O271" i="1" a="1"/>
  <c r="N271" i="1"/>
  <c r="M271" i="1"/>
  <c r="O270" i="1"/>
  <c r="O270" i="1" a="1"/>
  <c r="N270" i="1"/>
  <c r="M270" i="1"/>
  <c r="O269" i="1"/>
  <c r="O269" i="1" a="1"/>
  <c r="N269" i="1"/>
  <c r="M269" i="1"/>
  <c r="O268" i="1"/>
  <c r="O268" i="1" a="1"/>
  <c r="N268" i="1"/>
  <c r="M268" i="1"/>
  <c r="O267" i="1"/>
  <c r="O267" i="1" a="1"/>
  <c r="N267" i="1"/>
  <c r="M267" i="1"/>
  <c r="O266" i="1"/>
  <c r="O266" i="1" a="1"/>
  <c r="N266" i="1"/>
  <c r="M266" i="1"/>
  <c r="O265" i="1"/>
  <c r="O265" i="1" a="1"/>
  <c r="N265" i="1"/>
  <c r="M265" i="1"/>
  <c r="O264" i="1"/>
  <c r="O264" i="1" a="1"/>
  <c r="N264" i="1"/>
  <c r="M264" i="1"/>
  <c r="O263" i="1"/>
  <c r="O263" i="1" a="1"/>
  <c r="N263" i="1"/>
  <c r="M263" i="1"/>
  <c r="O262" i="1"/>
  <c r="O262" i="1" a="1"/>
  <c r="N262" i="1"/>
  <c r="M262" i="1"/>
  <c r="O261" i="1"/>
  <c r="O261" i="1" a="1"/>
  <c r="N261" i="1"/>
  <c r="M261" i="1"/>
  <c r="O260" i="1"/>
  <c r="O260" i="1" a="1"/>
  <c r="N260" i="1"/>
  <c r="M260" i="1"/>
  <c r="O259" i="1"/>
  <c r="O259" i="1" a="1"/>
  <c r="N259" i="1"/>
  <c r="M259" i="1"/>
  <c r="O258" i="1"/>
  <c r="O258" i="1" a="1"/>
  <c r="N258" i="1"/>
  <c r="M258" i="1"/>
  <c r="O257" i="1"/>
  <c r="O257" i="1" a="1"/>
  <c r="N257" i="1"/>
  <c r="M257" i="1"/>
  <c r="O256" i="1"/>
  <c r="O256" i="1" a="1"/>
  <c r="N256" i="1"/>
  <c r="M256" i="1"/>
  <c r="O255" i="1"/>
  <c r="O255" i="1" a="1"/>
  <c r="N255" i="1"/>
  <c r="M255" i="1"/>
  <c r="O254" i="1"/>
  <c r="O254" i="1" a="1"/>
  <c r="N254" i="1"/>
  <c r="M254" i="1"/>
  <c r="O253" i="1"/>
  <c r="O253" i="1" a="1"/>
  <c r="N253" i="1"/>
  <c r="M253" i="1"/>
  <c r="O252" i="1"/>
  <c r="O252" i="1" a="1"/>
  <c r="N252" i="1"/>
  <c r="M252" i="1"/>
  <c r="O251" i="1"/>
  <c r="O251" i="1" a="1"/>
  <c r="N251" i="1"/>
  <c r="M251" i="1"/>
  <c r="O250" i="1"/>
  <c r="O250" i="1" a="1"/>
  <c r="N250" i="1"/>
  <c r="M250" i="1"/>
  <c r="O249" i="1"/>
  <c r="O249" i="1" a="1"/>
  <c r="N249" i="1"/>
  <c r="M249" i="1"/>
  <c r="O248" i="1"/>
  <c r="O248" i="1" a="1"/>
  <c r="N248" i="1"/>
  <c r="M248" i="1"/>
  <c r="O247" i="1"/>
  <c r="O247" i="1" a="1"/>
  <c r="N247" i="1"/>
  <c r="M247" i="1"/>
  <c r="O246" i="1"/>
  <c r="O246" i="1" a="1"/>
  <c r="N246" i="1"/>
  <c r="M246" i="1"/>
  <c r="O245" i="1"/>
  <c r="O245" i="1" a="1"/>
  <c r="N245" i="1"/>
  <c r="M245" i="1"/>
  <c r="O244" i="1"/>
  <c r="O244" i="1" a="1"/>
  <c r="N244" i="1"/>
  <c r="M244" i="1"/>
  <c r="O243" i="1"/>
  <c r="O243" i="1" a="1"/>
  <c r="N243" i="1"/>
  <c r="M243" i="1"/>
  <c r="O242" i="1"/>
  <c r="O242" i="1" a="1"/>
  <c r="N242" i="1"/>
  <c r="M242" i="1"/>
  <c r="O241" i="1"/>
  <c r="O241" i="1" a="1"/>
  <c r="N241" i="1"/>
  <c r="M241" i="1"/>
  <c r="O240" i="1"/>
  <c r="O240" i="1" a="1"/>
  <c r="N240" i="1"/>
  <c r="M240" i="1"/>
  <c r="O239" i="1"/>
  <c r="O239" i="1" a="1"/>
  <c r="N239" i="1"/>
  <c r="M239" i="1"/>
  <c r="O238" i="1"/>
  <c r="O238" i="1" a="1"/>
  <c r="N238" i="1"/>
  <c r="M238" i="1"/>
  <c r="O237" i="1"/>
  <c r="O237" i="1" a="1"/>
  <c r="N237" i="1"/>
  <c r="M237" i="1"/>
  <c r="O236" i="1"/>
  <c r="O236" i="1" a="1"/>
  <c r="N236" i="1"/>
  <c r="M236" i="1"/>
  <c r="O235" i="1"/>
  <c r="O235" i="1" a="1"/>
  <c r="N235" i="1"/>
  <c r="M235" i="1"/>
  <c r="O234" i="1"/>
  <c r="O234" i="1" a="1"/>
  <c r="N234" i="1"/>
  <c r="M234" i="1"/>
  <c r="O233" i="1"/>
  <c r="O233" i="1" a="1"/>
  <c r="N233" i="1"/>
  <c r="M233" i="1"/>
  <c r="O232" i="1"/>
  <c r="O232" i="1" a="1"/>
  <c r="N232" i="1"/>
  <c r="M232" i="1"/>
  <c r="O231" i="1"/>
  <c r="O231" i="1" a="1"/>
  <c r="N231" i="1"/>
  <c r="M231" i="1"/>
  <c r="O230" i="1"/>
  <c r="O230" i="1" a="1"/>
  <c r="N230" i="1"/>
  <c r="M230" i="1"/>
  <c r="O229" i="1"/>
  <c r="O229" i="1" a="1"/>
  <c r="N229" i="1"/>
  <c r="M229" i="1"/>
  <c r="O228" i="1"/>
  <c r="O228" i="1" a="1"/>
  <c r="N228" i="1"/>
  <c r="M228" i="1"/>
  <c r="O227" i="1"/>
  <c r="O227" i="1" a="1"/>
  <c r="N227" i="1"/>
  <c r="M227" i="1"/>
  <c r="O226" i="1"/>
  <c r="O226" i="1" a="1"/>
  <c r="N226" i="1"/>
  <c r="M226" i="1"/>
  <c r="O225" i="1"/>
  <c r="O225" i="1" a="1"/>
  <c r="N225" i="1"/>
  <c r="M225" i="1"/>
  <c r="O224" i="1"/>
  <c r="O224" i="1" a="1"/>
  <c r="N224" i="1"/>
  <c r="M224" i="1"/>
  <c r="O223" i="1"/>
  <c r="O223" i="1" a="1"/>
  <c r="N223" i="1"/>
  <c r="M223" i="1"/>
  <c r="O222" i="1"/>
  <c r="O222" i="1" a="1"/>
  <c r="N222" i="1"/>
  <c r="M222" i="1"/>
  <c r="O221" i="1"/>
  <c r="O221" i="1" a="1"/>
  <c r="N221" i="1"/>
  <c r="M221" i="1"/>
  <c r="O220" i="1"/>
  <c r="O220" i="1" a="1"/>
  <c r="N220" i="1"/>
  <c r="M220" i="1"/>
  <c r="O219" i="1"/>
  <c r="O219" i="1" a="1"/>
  <c r="N219" i="1"/>
  <c r="M219" i="1"/>
  <c r="O218" i="1"/>
  <c r="O218" i="1" a="1"/>
  <c r="N218" i="1"/>
  <c r="M218" i="1"/>
  <c r="O217" i="1"/>
  <c r="O217" i="1" a="1"/>
  <c r="N217" i="1"/>
  <c r="M217" i="1"/>
  <c r="O216" i="1"/>
  <c r="O216" i="1" a="1"/>
  <c r="N216" i="1"/>
  <c r="M216" i="1"/>
  <c r="O215" i="1"/>
  <c r="O215" i="1" a="1"/>
  <c r="N215" i="1"/>
  <c r="M215" i="1"/>
  <c r="O214" i="1"/>
  <c r="O214" i="1" a="1"/>
  <c r="N214" i="1"/>
  <c r="M214" i="1"/>
  <c r="O213" i="1"/>
  <c r="O213" i="1" a="1"/>
  <c r="N213" i="1"/>
  <c r="M213" i="1"/>
  <c r="O212" i="1"/>
  <c r="O212" i="1" a="1"/>
  <c r="N212" i="1"/>
  <c r="M212" i="1"/>
  <c r="O211" i="1"/>
  <c r="O211" i="1" a="1"/>
  <c r="N211" i="1"/>
  <c r="M211" i="1"/>
  <c r="O210" i="1"/>
  <c r="O210" i="1" a="1"/>
  <c r="N210" i="1"/>
  <c r="M210" i="1"/>
  <c r="O209" i="1"/>
  <c r="O209" i="1" a="1"/>
  <c r="N209" i="1"/>
  <c r="M209" i="1"/>
  <c r="O208" i="1"/>
  <c r="O208" i="1" a="1"/>
  <c r="N208" i="1"/>
  <c r="M208" i="1"/>
  <c r="O207" i="1"/>
  <c r="O207" i="1" a="1"/>
  <c r="N207" i="1"/>
  <c r="M207" i="1"/>
  <c r="O206" i="1"/>
  <c r="O206" i="1" a="1"/>
  <c r="N206" i="1"/>
  <c r="M206" i="1"/>
  <c r="O205" i="1"/>
  <c r="O205" i="1" a="1"/>
  <c r="N205" i="1"/>
  <c r="M205" i="1"/>
  <c r="O204" i="1"/>
  <c r="O204" i="1" a="1"/>
  <c r="N204" i="1"/>
  <c r="M204" i="1"/>
  <c r="O203" i="1"/>
  <c r="O203" i="1" a="1"/>
  <c r="N203" i="1"/>
  <c r="M203" i="1"/>
  <c r="O202" i="1"/>
  <c r="O202" i="1" a="1"/>
  <c r="N202" i="1"/>
  <c r="M202" i="1"/>
  <c r="O201" i="1"/>
  <c r="O201" i="1" a="1"/>
  <c r="N201" i="1"/>
  <c r="M201" i="1"/>
  <c r="O200" i="1"/>
  <c r="O200" i="1" a="1"/>
  <c r="N200" i="1"/>
  <c r="M200" i="1"/>
  <c r="O199" i="1"/>
  <c r="O199" i="1" a="1"/>
  <c r="N199" i="1"/>
  <c r="M199" i="1"/>
  <c r="O198" i="1"/>
  <c r="O198" i="1" a="1"/>
  <c r="N198" i="1"/>
  <c r="M198" i="1"/>
  <c r="O197" i="1"/>
  <c r="O197" i="1" a="1"/>
  <c r="N197" i="1"/>
  <c r="M197" i="1"/>
  <c r="O196" i="1"/>
  <c r="O196" i="1" a="1"/>
  <c r="N196" i="1"/>
  <c r="M196" i="1"/>
  <c r="O195" i="1"/>
  <c r="O195" i="1" a="1"/>
  <c r="N195" i="1"/>
  <c r="M195" i="1"/>
  <c r="O194" i="1"/>
  <c r="O194" i="1" a="1"/>
  <c r="N194" i="1"/>
  <c r="M194" i="1"/>
  <c r="O193" i="1"/>
  <c r="O193" i="1" a="1"/>
  <c r="N193" i="1"/>
  <c r="M193" i="1"/>
  <c r="O192" i="1"/>
  <c r="O192" i="1" a="1"/>
  <c r="N192" i="1"/>
  <c r="M192" i="1"/>
  <c r="O191" i="1"/>
  <c r="O191" i="1" a="1"/>
  <c r="N191" i="1"/>
  <c r="M191" i="1"/>
  <c r="O190" i="1"/>
  <c r="O190" i="1" a="1"/>
  <c r="N190" i="1"/>
  <c r="M190" i="1"/>
  <c r="O189" i="1"/>
  <c r="O189" i="1" a="1"/>
  <c r="N189" i="1"/>
  <c r="M189" i="1"/>
  <c r="O188" i="1"/>
  <c r="O188" i="1" a="1"/>
  <c r="N188" i="1"/>
  <c r="M188" i="1"/>
  <c r="O187" i="1"/>
  <c r="O187" i="1" a="1"/>
  <c r="N187" i="1"/>
  <c r="M187" i="1"/>
  <c r="O186" i="1"/>
  <c r="O186" i="1" a="1"/>
  <c r="N186" i="1"/>
  <c r="M186" i="1"/>
  <c r="O185" i="1"/>
  <c r="O185" i="1" a="1"/>
  <c r="N185" i="1"/>
  <c r="M185" i="1"/>
  <c r="O184" i="1"/>
  <c r="O184" i="1" a="1"/>
  <c r="N184" i="1"/>
  <c r="M184" i="1"/>
  <c r="O183" i="1"/>
  <c r="O183" i="1" a="1"/>
  <c r="N183" i="1"/>
  <c r="M183" i="1"/>
  <c r="O182" i="1"/>
  <c r="O182" i="1" a="1"/>
  <c r="N182" i="1"/>
  <c r="M182" i="1"/>
  <c r="O181" i="1"/>
  <c r="O181" i="1" a="1"/>
  <c r="N181" i="1"/>
  <c r="M181" i="1"/>
  <c r="O180" i="1"/>
  <c r="O180" i="1" a="1"/>
  <c r="N180" i="1"/>
  <c r="M180" i="1"/>
  <c r="O179" i="1"/>
  <c r="O179" i="1" a="1"/>
  <c r="N179" i="1"/>
  <c r="M179" i="1"/>
  <c r="O178" i="1"/>
  <c r="O178" i="1" a="1"/>
  <c r="N178" i="1"/>
  <c r="M178" i="1"/>
  <c r="O177" i="1"/>
  <c r="O177" i="1" a="1"/>
  <c r="N177" i="1"/>
  <c r="M177" i="1"/>
  <c r="O176" i="1"/>
  <c r="O176" i="1" a="1"/>
  <c r="N176" i="1"/>
  <c r="M176" i="1"/>
  <c r="O175" i="1"/>
  <c r="O175" i="1" a="1"/>
  <c r="N175" i="1"/>
  <c r="M175" i="1"/>
  <c r="O174" i="1"/>
  <c r="O174" i="1" a="1"/>
  <c r="N174" i="1"/>
  <c r="M174" i="1"/>
  <c r="O173" i="1"/>
  <c r="O173" i="1" a="1"/>
  <c r="N173" i="1"/>
  <c r="M173" i="1"/>
  <c r="O172" i="1"/>
  <c r="O172" i="1" a="1"/>
  <c r="N172" i="1"/>
  <c r="M172" i="1"/>
  <c r="O171" i="1"/>
  <c r="O171" i="1" a="1"/>
  <c r="N171" i="1"/>
  <c r="M171" i="1"/>
  <c r="O170" i="1"/>
  <c r="O170" i="1" a="1"/>
  <c r="N170" i="1"/>
  <c r="M170" i="1"/>
  <c r="O169" i="1"/>
  <c r="O169" i="1" a="1"/>
  <c r="N169" i="1"/>
  <c r="M169" i="1"/>
  <c r="O168" i="1"/>
  <c r="O168" i="1" a="1"/>
  <c r="N168" i="1"/>
  <c r="M168" i="1"/>
  <c r="O167" i="1"/>
  <c r="O167" i="1" a="1"/>
  <c r="N167" i="1"/>
  <c r="M167" i="1"/>
  <c r="O166" i="1"/>
  <c r="O166" i="1" a="1"/>
  <c r="N166" i="1"/>
  <c r="M166" i="1"/>
  <c r="O165" i="1"/>
  <c r="O165" i="1" a="1"/>
  <c r="N165" i="1"/>
  <c r="M165" i="1"/>
  <c r="O164" i="1"/>
  <c r="O164" i="1" a="1"/>
  <c r="N164" i="1"/>
  <c r="M164" i="1"/>
  <c r="O163" i="1"/>
  <c r="O163" i="1" a="1"/>
  <c r="N163" i="1"/>
  <c r="M163" i="1"/>
  <c r="O162" i="1"/>
  <c r="O162" i="1" a="1"/>
  <c r="N162" i="1"/>
  <c r="M162" i="1"/>
  <c r="O161" i="1"/>
  <c r="O161" i="1" a="1"/>
  <c r="N161" i="1"/>
  <c r="M161" i="1"/>
  <c r="O160" i="1"/>
  <c r="O160" i="1" a="1"/>
  <c r="N160" i="1"/>
  <c r="M160" i="1"/>
  <c r="O159" i="1"/>
  <c r="O159" i="1" a="1"/>
  <c r="N159" i="1"/>
  <c r="M159" i="1"/>
  <c r="O158" i="1"/>
  <c r="O158" i="1" a="1"/>
  <c r="N158" i="1"/>
  <c r="M158" i="1"/>
  <c r="O157" i="1"/>
  <c r="O157" i="1" a="1"/>
  <c r="N157" i="1"/>
  <c r="M157" i="1"/>
  <c r="O156" i="1"/>
  <c r="O156" i="1" a="1"/>
  <c r="N156" i="1"/>
  <c r="M156" i="1"/>
  <c r="O155" i="1"/>
  <c r="O155" i="1" a="1"/>
  <c r="N155" i="1"/>
  <c r="M155" i="1"/>
  <c r="O154" i="1"/>
  <c r="O154" i="1" a="1"/>
  <c r="N154" i="1"/>
  <c r="M154" i="1"/>
  <c r="O153" i="1"/>
  <c r="O153" i="1" a="1"/>
  <c r="N153" i="1"/>
  <c r="M153" i="1"/>
  <c r="O152" i="1"/>
  <c r="O152" i="1" a="1"/>
  <c r="N152" i="1"/>
  <c r="M152" i="1"/>
  <c r="O151" i="1"/>
  <c r="O151" i="1" a="1"/>
  <c r="N151" i="1"/>
  <c r="M151" i="1"/>
  <c r="O150" i="1"/>
  <c r="O150" i="1" a="1"/>
  <c r="N150" i="1"/>
  <c r="M150" i="1"/>
  <c r="O149" i="1"/>
  <c r="O149" i="1" a="1"/>
  <c r="N149" i="1"/>
  <c r="M149" i="1"/>
  <c r="O148" i="1"/>
  <c r="O148" i="1" a="1"/>
  <c r="N148" i="1"/>
  <c r="M148" i="1"/>
  <c r="O147" i="1"/>
  <c r="O147" i="1" a="1"/>
  <c r="N147" i="1"/>
  <c r="M147" i="1"/>
  <c r="O146" i="1"/>
  <c r="O146" i="1" a="1"/>
  <c r="N146" i="1"/>
  <c r="M146" i="1"/>
  <c r="O145" i="1"/>
  <c r="O145" i="1" a="1"/>
  <c r="N145" i="1"/>
  <c r="M145" i="1"/>
  <c r="O144" i="1"/>
  <c r="O144" i="1" a="1"/>
  <c r="N144" i="1"/>
  <c r="M144" i="1"/>
  <c r="O143" i="1"/>
  <c r="O143" i="1" a="1"/>
  <c r="N143" i="1"/>
  <c r="M143" i="1"/>
  <c r="O142" i="1"/>
  <c r="O142" i="1" a="1"/>
  <c r="N142" i="1"/>
  <c r="M142" i="1"/>
  <c r="O141" i="1"/>
  <c r="O141" i="1" a="1"/>
  <c r="N141" i="1"/>
  <c r="M141" i="1"/>
  <c r="O140" i="1"/>
  <c r="O140" i="1" a="1"/>
  <c r="N140" i="1"/>
  <c r="M140" i="1"/>
  <c r="O139" i="1"/>
  <c r="O139" i="1" a="1"/>
  <c r="N139" i="1"/>
  <c r="M139" i="1"/>
  <c r="O138" i="1"/>
  <c r="O138" i="1" a="1"/>
  <c r="N138" i="1"/>
  <c r="M138" i="1"/>
  <c r="O137" i="1"/>
  <c r="O137" i="1" a="1"/>
  <c r="N137" i="1"/>
  <c r="M137" i="1"/>
  <c r="O136" i="1"/>
  <c r="O136" i="1" a="1"/>
  <c r="N136" i="1"/>
  <c r="M136" i="1"/>
  <c r="O135" i="1"/>
  <c r="O135" i="1" a="1"/>
  <c r="N135" i="1"/>
  <c r="M135" i="1"/>
  <c r="O134" i="1"/>
  <c r="O134" i="1" a="1"/>
  <c r="N134" i="1"/>
  <c r="M134" i="1"/>
  <c r="O133" i="1"/>
  <c r="O133" i="1" a="1"/>
  <c r="N133" i="1"/>
  <c r="M133" i="1"/>
  <c r="O132" i="1"/>
  <c r="O132" i="1" a="1"/>
  <c r="N132" i="1"/>
  <c r="M132" i="1"/>
  <c r="O131" i="1"/>
  <c r="O131" i="1" a="1"/>
  <c r="N131" i="1"/>
  <c r="M131" i="1"/>
  <c r="O130" i="1"/>
  <c r="O130" i="1" a="1"/>
  <c r="N130" i="1"/>
  <c r="M130" i="1"/>
  <c r="O129" i="1"/>
  <c r="O129" i="1" a="1"/>
  <c r="N129" i="1"/>
  <c r="M129" i="1"/>
  <c r="O128" i="1"/>
  <c r="O128" i="1" a="1"/>
  <c r="N128" i="1"/>
  <c r="M128" i="1"/>
  <c r="O127" i="1"/>
  <c r="O127" i="1" a="1"/>
  <c r="N127" i="1"/>
  <c r="M127" i="1"/>
  <c r="O126" i="1"/>
  <c r="O126" i="1" a="1"/>
  <c r="N126" i="1"/>
  <c r="M126" i="1"/>
  <c r="O125" i="1"/>
  <c r="O125" i="1" a="1"/>
  <c r="N125" i="1"/>
  <c r="M125" i="1"/>
  <c r="O124" i="1"/>
  <c r="O124" i="1" a="1"/>
  <c r="N124" i="1"/>
  <c r="M124" i="1"/>
  <c r="O123" i="1"/>
  <c r="O123" i="1" a="1"/>
  <c r="N123" i="1"/>
  <c r="M123" i="1"/>
  <c r="O122" i="1"/>
  <c r="O122" i="1" a="1"/>
  <c r="N122" i="1"/>
  <c r="M122" i="1"/>
  <c r="O121" i="1"/>
  <c r="O121" i="1" a="1"/>
  <c r="N121" i="1"/>
  <c r="M121" i="1"/>
  <c r="O120" i="1"/>
  <c r="O120" i="1" a="1"/>
  <c r="N120" i="1"/>
  <c r="M120" i="1"/>
  <c r="O119" i="1"/>
  <c r="O119" i="1" a="1"/>
  <c r="N119" i="1"/>
  <c r="M119" i="1"/>
  <c r="O118" i="1"/>
  <c r="O118" i="1" a="1"/>
  <c r="N118" i="1"/>
  <c r="M118" i="1"/>
  <c r="O117" i="1"/>
  <c r="O117" i="1" a="1"/>
  <c r="N117" i="1"/>
  <c r="M117" i="1"/>
  <c r="O116" i="1"/>
  <c r="O116" i="1" a="1"/>
  <c r="N116" i="1"/>
  <c r="M116" i="1"/>
  <c r="O115" i="1"/>
  <c r="O115" i="1" a="1"/>
  <c r="N115" i="1"/>
  <c r="M115" i="1"/>
  <c r="O114" i="1"/>
  <c r="O114" i="1" a="1"/>
  <c r="N114" i="1"/>
  <c r="M114" i="1"/>
  <c r="O113" i="1"/>
  <c r="O113" i="1" a="1"/>
  <c r="N113" i="1"/>
  <c r="M113" i="1"/>
  <c r="O112" i="1"/>
  <c r="O112" i="1" a="1"/>
  <c r="N112" i="1"/>
  <c r="M112" i="1"/>
  <c r="O111" i="1"/>
  <c r="O111" i="1" a="1"/>
  <c r="N111" i="1"/>
  <c r="M111" i="1"/>
  <c r="O110" i="1"/>
  <c r="O110" i="1" a="1"/>
  <c r="N110" i="1"/>
  <c r="M110" i="1"/>
  <c r="O109" i="1"/>
  <c r="O109" i="1" a="1"/>
  <c r="N109" i="1"/>
  <c r="M109" i="1"/>
  <c r="O108" i="1"/>
  <c r="O108" i="1" a="1"/>
  <c r="N108" i="1"/>
  <c r="M108" i="1"/>
  <c r="O107" i="1"/>
  <c r="O107" i="1" a="1"/>
  <c r="N107" i="1"/>
  <c r="M107" i="1"/>
  <c r="O106" i="1"/>
  <c r="O106" i="1" a="1"/>
  <c r="N106" i="1"/>
  <c r="M106" i="1"/>
  <c r="O105" i="1"/>
  <c r="O105" i="1" a="1"/>
  <c r="N105" i="1"/>
  <c r="M105" i="1"/>
  <c r="O104" i="1"/>
  <c r="O104" i="1" a="1"/>
  <c r="N104" i="1"/>
  <c r="M104" i="1"/>
  <c r="O103" i="1"/>
  <c r="O103" i="1" a="1"/>
  <c r="N103" i="1"/>
  <c r="M103" i="1"/>
  <c r="O102" i="1"/>
  <c r="O102" i="1" a="1"/>
  <c r="N102" i="1"/>
  <c r="M102" i="1"/>
  <c r="O101" i="1"/>
  <c r="O101" i="1" a="1"/>
  <c r="N101" i="1"/>
  <c r="M101" i="1"/>
  <c r="O100" i="1"/>
  <c r="O100" i="1" a="1"/>
  <c r="N100" i="1"/>
  <c r="M100" i="1"/>
  <c r="O99" i="1"/>
  <c r="O99" i="1" a="1"/>
  <c r="N99" i="1"/>
  <c r="M99" i="1"/>
  <c r="O98" i="1"/>
  <c r="O98" i="1" a="1"/>
  <c r="N98" i="1"/>
  <c r="M98" i="1"/>
  <c r="O97" i="1"/>
  <c r="O97" i="1" a="1"/>
  <c r="N97" i="1"/>
  <c r="M97" i="1"/>
  <c r="O96" i="1"/>
  <c r="O96" i="1" a="1"/>
  <c r="N96" i="1"/>
  <c r="M96" i="1"/>
  <c r="O95" i="1"/>
  <c r="O95" i="1" a="1"/>
  <c r="N95" i="1"/>
  <c r="M95" i="1"/>
  <c r="O94" i="1"/>
  <c r="O94" i="1" a="1"/>
  <c r="N94" i="1"/>
  <c r="M94" i="1"/>
  <c r="O93" i="1"/>
  <c r="O93" i="1" a="1"/>
  <c r="N93" i="1"/>
  <c r="M93" i="1"/>
  <c r="O92" i="1"/>
  <c r="O92" i="1" a="1"/>
  <c r="N92" i="1"/>
  <c r="M92" i="1"/>
  <c r="O91" i="1"/>
  <c r="O91" i="1" a="1"/>
  <c r="N91" i="1"/>
  <c r="M91" i="1"/>
  <c r="O90" i="1"/>
  <c r="O90" i="1" a="1"/>
  <c r="N90" i="1"/>
  <c r="M90" i="1"/>
  <c r="O89" i="1"/>
  <c r="O89" i="1" a="1"/>
  <c r="N89" i="1"/>
  <c r="M89" i="1"/>
  <c r="O88" i="1"/>
  <c r="O88" i="1" a="1"/>
  <c r="N88" i="1"/>
  <c r="M88" i="1"/>
  <c r="O87" i="1"/>
  <c r="O87" i="1" a="1"/>
  <c r="N87" i="1"/>
  <c r="M87" i="1"/>
  <c r="O86" i="1"/>
  <c r="O86" i="1" a="1"/>
  <c r="N86" i="1"/>
  <c r="M86" i="1"/>
  <c r="O85" i="1"/>
  <c r="O85" i="1" a="1"/>
  <c r="N85" i="1"/>
  <c r="M85" i="1"/>
  <c r="O84" i="1"/>
  <c r="O84" i="1" a="1"/>
  <c r="N84" i="1"/>
  <c r="M84" i="1"/>
  <c r="O83" i="1"/>
  <c r="O83" i="1" a="1"/>
  <c r="N83" i="1"/>
  <c r="M83" i="1"/>
  <c r="O82" i="1"/>
  <c r="O82" i="1" a="1"/>
  <c r="N82" i="1"/>
  <c r="M82" i="1"/>
  <c r="O81" i="1"/>
  <c r="O81" i="1" a="1"/>
  <c r="N81" i="1"/>
  <c r="M81" i="1"/>
  <c r="O80" i="1"/>
  <c r="O80" i="1" a="1"/>
  <c r="N80" i="1"/>
  <c r="M80" i="1"/>
  <c r="O79" i="1"/>
  <c r="O79" i="1" a="1"/>
  <c r="N79" i="1"/>
  <c r="M79" i="1"/>
  <c r="O78" i="1"/>
  <c r="O78" i="1" a="1"/>
  <c r="N78" i="1"/>
  <c r="M78" i="1"/>
  <c r="O77" i="1"/>
  <c r="O77" i="1" a="1"/>
  <c r="N77" i="1"/>
  <c r="M77" i="1"/>
  <c r="O76" i="1"/>
  <c r="O76" i="1" a="1"/>
  <c r="N76" i="1"/>
  <c r="M76" i="1"/>
  <c r="O75" i="1"/>
  <c r="O75" i="1" a="1"/>
  <c r="N75" i="1"/>
  <c r="M75" i="1"/>
  <c r="O74" i="1"/>
  <c r="O74" i="1" a="1"/>
  <c r="N74" i="1"/>
  <c r="M74" i="1"/>
  <c r="O73" i="1"/>
  <c r="O73" i="1" a="1"/>
  <c r="N73" i="1"/>
  <c r="M73" i="1"/>
  <c r="O72" i="1"/>
  <c r="O72" i="1" a="1"/>
  <c r="N72" i="1"/>
  <c r="M72" i="1"/>
  <c r="O71" i="1"/>
  <c r="O71" i="1" a="1"/>
  <c r="N71" i="1"/>
  <c r="M71" i="1"/>
  <c r="O70" i="1"/>
  <c r="O70" i="1" a="1"/>
  <c r="N70" i="1"/>
  <c r="M70" i="1"/>
  <c r="O69" i="1"/>
  <c r="O69" i="1" a="1"/>
  <c r="N69" i="1"/>
  <c r="M69" i="1"/>
  <c r="O68" i="1"/>
  <c r="O68" i="1" a="1"/>
  <c r="N68" i="1"/>
  <c r="M68" i="1"/>
  <c r="O67" i="1"/>
  <c r="O67" i="1" a="1"/>
  <c r="N67" i="1"/>
  <c r="M67" i="1"/>
  <c r="O66" i="1"/>
  <c r="O66" i="1" a="1"/>
  <c r="N66" i="1"/>
  <c r="M66" i="1"/>
  <c r="O65" i="1"/>
  <c r="O65" i="1" a="1"/>
  <c r="N65" i="1"/>
  <c r="M65" i="1"/>
  <c r="O64" i="1"/>
  <c r="O64" i="1" a="1"/>
  <c r="N64" i="1"/>
  <c r="M64" i="1"/>
  <c r="O63" i="1"/>
  <c r="O63" i="1" a="1"/>
  <c r="N63" i="1"/>
  <c r="M63" i="1"/>
  <c r="O62" i="1"/>
  <c r="O62" i="1" a="1"/>
  <c r="N62" i="1"/>
  <c r="M62" i="1"/>
  <c r="O61" i="1"/>
  <c r="O61" i="1" a="1"/>
  <c r="N61" i="1"/>
  <c r="M61" i="1"/>
  <c r="O60" i="1"/>
  <c r="O60" i="1" a="1"/>
  <c r="N60" i="1"/>
  <c r="M60" i="1"/>
  <c r="O59" i="1"/>
  <c r="O59" i="1" a="1"/>
  <c r="N59" i="1"/>
  <c r="M59" i="1"/>
  <c r="O58" i="1"/>
  <c r="O58" i="1" a="1"/>
  <c r="N58" i="1"/>
  <c r="M58" i="1"/>
  <c r="O57" i="1"/>
  <c r="O57" i="1" a="1"/>
  <c r="N57" i="1"/>
  <c r="M57" i="1"/>
  <c r="O56" i="1"/>
  <c r="O56" i="1" a="1"/>
  <c r="N56" i="1"/>
  <c r="M56" i="1"/>
  <c r="O55" i="1"/>
  <c r="O55" i="1" a="1"/>
  <c r="N55" i="1"/>
  <c r="M55" i="1"/>
  <c r="O54" i="1"/>
  <c r="O54" i="1" a="1"/>
  <c r="N54" i="1"/>
  <c r="M54" i="1"/>
  <c r="O53" i="1"/>
  <c r="O53" i="1" a="1"/>
  <c r="N53" i="1"/>
  <c r="M53" i="1"/>
  <c r="O52" i="1"/>
  <c r="O52" i="1" a="1"/>
  <c r="N52" i="1"/>
  <c r="M52" i="1"/>
  <c r="O51" i="1"/>
  <c r="O51" i="1" a="1"/>
  <c r="N51" i="1"/>
  <c r="M51" i="1"/>
  <c r="O50" i="1"/>
  <c r="O50" i="1" a="1"/>
  <c r="N50" i="1"/>
  <c r="M50" i="1"/>
  <c r="O49" i="1"/>
  <c r="O49" i="1" a="1"/>
  <c r="N49" i="1"/>
  <c r="M49" i="1"/>
  <c r="O48" i="1"/>
  <c r="O48" i="1" a="1"/>
  <c r="N48" i="1"/>
  <c r="M48" i="1"/>
  <c r="O47" i="1"/>
  <c r="O47" i="1" a="1"/>
  <c r="N47" i="1"/>
  <c r="M47" i="1"/>
  <c r="O46" i="1"/>
  <c r="O46" i="1" a="1"/>
  <c r="N46" i="1"/>
  <c r="M46" i="1"/>
  <c r="O45" i="1"/>
  <c r="O45" i="1" a="1"/>
  <c r="N45" i="1"/>
  <c r="M45" i="1"/>
  <c r="O44" i="1"/>
  <c r="O44" i="1" a="1"/>
  <c r="N44" i="1"/>
  <c r="M44" i="1"/>
  <c r="O43" i="1"/>
  <c r="O43" i="1" a="1"/>
  <c r="N43" i="1"/>
  <c r="M43" i="1"/>
  <c r="O42" i="1"/>
  <c r="O42" i="1" a="1"/>
  <c r="N42" i="1"/>
  <c r="M42" i="1"/>
  <c r="O41" i="1"/>
  <c r="O41" i="1" a="1"/>
  <c r="N41" i="1"/>
  <c r="M41" i="1"/>
  <c r="O40" i="1"/>
  <c r="O40" i="1" a="1"/>
  <c r="N40" i="1"/>
  <c r="M40" i="1"/>
  <c r="O39" i="1"/>
  <c r="O39" i="1" a="1"/>
  <c r="N39" i="1"/>
  <c r="M39" i="1"/>
  <c r="O38" i="1"/>
  <c r="O38" i="1" a="1"/>
  <c r="N38" i="1"/>
  <c r="M38" i="1"/>
  <c r="O37" i="1"/>
  <c r="O37" i="1" a="1"/>
  <c r="N37" i="1"/>
  <c r="M37" i="1"/>
  <c r="O36" i="1"/>
  <c r="O36" i="1" a="1"/>
  <c r="N36" i="1"/>
  <c r="M36" i="1"/>
  <c r="O35" i="1"/>
  <c r="O35" i="1" a="1"/>
  <c r="N35" i="1"/>
  <c r="M35" i="1"/>
  <c r="O34" i="1"/>
  <c r="O34" i="1" a="1"/>
  <c r="N34" i="1"/>
  <c r="M34" i="1"/>
  <c r="O33" i="1"/>
  <c r="O33" i="1" a="1"/>
  <c r="N33" i="1"/>
  <c r="M33" i="1"/>
  <c r="O32" i="1"/>
  <c r="O32" i="1" a="1"/>
  <c r="N32" i="1"/>
  <c r="M32" i="1"/>
  <c r="O31" i="1"/>
  <c r="O31" i="1" a="1"/>
  <c r="N31" i="1"/>
  <c r="M31" i="1"/>
  <c r="O30" i="1"/>
  <c r="O30" i="1" a="1"/>
  <c r="N30" i="1"/>
  <c r="M30" i="1"/>
  <c r="O29" i="1"/>
  <c r="O29" i="1" a="1"/>
  <c r="N29" i="1"/>
  <c r="M29" i="1"/>
  <c r="O28" i="1"/>
  <c r="O28" i="1" a="1"/>
  <c r="N28" i="1"/>
  <c r="M28" i="1"/>
  <c r="O27" i="1"/>
  <c r="O27" i="1" a="1"/>
  <c r="N27" i="1"/>
  <c r="M27" i="1"/>
  <c r="O26" i="1"/>
  <c r="O26" i="1" a="1"/>
  <c r="N26" i="1"/>
  <c r="M26" i="1"/>
  <c r="O25" i="1"/>
  <c r="O25" i="1" a="1"/>
  <c r="N25" i="1"/>
  <c r="M25" i="1"/>
  <c r="O24" i="1"/>
  <c r="O24" i="1" a="1"/>
  <c r="N24" i="1"/>
  <c r="M24" i="1"/>
  <c r="O23" i="1"/>
  <c r="O23" i="1" a="1"/>
  <c r="N23" i="1"/>
  <c r="M23" i="1"/>
  <c r="O22" i="1"/>
  <c r="O22" i="1" a="1"/>
  <c r="N22" i="1"/>
  <c r="M22" i="1"/>
  <c r="O21" i="1"/>
  <c r="O21" i="1" a="1"/>
  <c r="N21" i="1"/>
  <c r="M21" i="1"/>
  <c r="O20" i="1"/>
  <c r="O20" i="1" a="1"/>
  <c r="N20" i="1"/>
  <c r="M20" i="1"/>
  <c r="O19" i="1"/>
  <c r="O19" i="1" a="1"/>
  <c r="N19" i="1"/>
  <c r="M19" i="1"/>
  <c r="O18" i="1"/>
  <c r="O18" i="1" a="1"/>
  <c r="N18" i="1"/>
  <c r="M18" i="1"/>
  <c r="O17" i="1"/>
  <c r="O17" i="1" a="1"/>
  <c r="N17" i="1"/>
  <c r="M17" i="1"/>
  <c r="O16" i="1"/>
  <c r="O16" i="1" a="1"/>
  <c r="N16" i="1"/>
  <c r="M16" i="1"/>
  <c r="O15" i="1"/>
  <c r="O15" i="1" a="1"/>
  <c r="N15" i="1"/>
  <c r="M15" i="1"/>
  <c r="O14" i="1"/>
  <c r="O14" i="1" a="1"/>
  <c r="N14" i="1"/>
  <c r="M14" i="1"/>
  <c r="O13" i="1"/>
  <c r="O13" i="1" a="1"/>
  <c r="N13" i="1"/>
  <c r="M13" i="1"/>
  <c r="O12" i="1"/>
  <c r="O12" i="1" a="1"/>
  <c r="N12" i="1"/>
  <c r="M12" i="1"/>
  <c r="O11" i="1"/>
  <c r="O11" i="1" a="1"/>
  <c r="N11" i="1"/>
  <c r="M11" i="1"/>
  <c r="O10" i="1"/>
  <c r="O10" i="1" a="1"/>
  <c r="N10" i="1"/>
  <c r="M10" i="1"/>
  <c r="O9" i="1"/>
  <c r="O9" i="1" a="1"/>
  <c r="N9" i="1"/>
  <c r="M9" i="1"/>
  <c r="O8" i="1"/>
  <c r="O8" i="1" a="1"/>
  <c r="N8" i="1"/>
  <c r="M8" i="1"/>
  <c r="O7" i="1"/>
  <c r="O7" i="1" a="1"/>
  <c r="N7" i="1"/>
  <c r="M7" i="1"/>
  <c r="O6" i="1"/>
  <c r="O6" i="1" a="1"/>
  <c r="N6" i="1"/>
  <c r="M6" i="1"/>
  <c r="O5" i="1"/>
  <c r="O5" i="1" a="1"/>
  <c r="N5" i="1"/>
  <c r="M5" i="1"/>
  <c r="O4" i="1"/>
  <c r="O4" i="1" a="1"/>
  <c r="N4" i="1"/>
  <c r="M4" i="1"/>
  <c r="O3" i="1"/>
  <c r="O3" i="1" a="1"/>
  <c r="N3" i="1"/>
  <c r="M3" i="1"/>
  <c r="O2" i="1"/>
  <c r="O2" i="1" a="1"/>
  <c r="N2" i="1"/>
  <c r="M2" i="1"/>
  <c r="I97" i="10"/>
  <c r="H97" i="10"/>
  <c r="F97" i="10"/>
  <c r="E97" i="10"/>
  <c r="I96" i="10"/>
  <c r="H96" i="10"/>
  <c r="F96" i="10"/>
  <c r="E96" i="10"/>
  <c r="I95" i="10"/>
  <c r="H95" i="10"/>
  <c r="F95" i="10"/>
  <c r="E95" i="10"/>
  <c r="I94" i="10"/>
  <c r="H94" i="10"/>
  <c r="F94" i="10"/>
  <c r="E94" i="10"/>
  <c r="I93" i="10"/>
  <c r="H93" i="10"/>
  <c r="F93" i="10"/>
  <c r="E93" i="10"/>
  <c r="I92" i="10"/>
  <c r="H92" i="10"/>
  <c r="F92" i="10"/>
  <c r="E92" i="10"/>
  <c r="I91" i="10"/>
  <c r="H91" i="10"/>
  <c r="F91" i="10"/>
  <c r="E91" i="10"/>
  <c r="I90" i="10"/>
  <c r="H90" i="10"/>
  <c r="F90" i="10"/>
  <c r="E90" i="10"/>
  <c r="I89" i="10"/>
  <c r="H89" i="10"/>
  <c r="F89" i="10"/>
  <c r="E89" i="10"/>
  <c r="I88" i="10"/>
  <c r="H88" i="10"/>
  <c r="F88" i="10"/>
  <c r="E88" i="10"/>
  <c r="I87" i="10"/>
  <c r="H87" i="10"/>
  <c r="F87" i="10"/>
  <c r="E87" i="10"/>
  <c r="I86" i="10"/>
  <c r="H86" i="10"/>
  <c r="F86" i="10"/>
  <c r="E86" i="10"/>
  <c r="I85" i="10"/>
  <c r="H85" i="10"/>
  <c r="F85" i="10"/>
  <c r="E85" i="10"/>
  <c r="I84" i="10"/>
  <c r="H84" i="10"/>
  <c r="F84" i="10"/>
  <c r="E84" i="10"/>
  <c r="I83" i="10"/>
  <c r="H83" i="10"/>
  <c r="F83" i="10"/>
  <c r="E83" i="10"/>
  <c r="I82" i="10"/>
  <c r="H82" i="10"/>
  <c r="F82" i="10"/>
  <c r="E82" i="10"/>
  <c r="I81" i="10"/>
  <c r="H81" i="10"/>
  <c r="F81" i="10"/>
  <c r="E81" i="10"/>
  <c r="I80" i="10"/>
  <c r="H80" i="10"/>
  <c r="F80" i="10"/>
  <c r="E80" i="10"/>
  <c r="I79" i="10"/>
  <c r="H79" i="10"/>
  <c r="F79" i="10"/>
  <c r="E79" i="10"/>
  <c r="I78" i="10"/>
  <c r="H78" i="10"/>
  <c r="F78" i="10"/>
  <c r="E78" i="10"/>
  <c r="I77" i="10"/>
  <c r="H77" i="10"/>
  <c r="F77" i="10"/>
  <c r="E77" i="10"/>
  <c r="I76" i="10"/>
  <c r="H76" i="10"/>
  <c r="F76" i="10"/>
  <c r="E76" i="10"/>
  <c r="I75" i="10"/>
  <c r="H75" i="10"/>
  <c r="F75" i="10"/>
  <c r="E75" i="10"/>
  <c r="I74" i="10"/>
  <c r="H74" i="10"/>
  <c r="F74" i="10"/>
  <c r="E74" i="10"/>
  <c r="I73" i="10"/>
  <c r="H73" i="10"/>
  <c r="F73" i="10"/>
  <c r="E73" i="10"/>
  <c r="I72" i="10"/>
  <c r="H72" i="10"/>
  <c r="F72" i="10"/>
  <c r="E72" i="10"/>
  <c r="I71" i="10"/>
  <c r="H71" i="10"/>
  <c r="F71" i="10"/>
  <c r="E71" i="10"/>
  <c r="I70" i="10"/>
  <c r="H70" i="10"/>
  <c r="F70" i="10"/>
  <c r="E70" i="10"/>
  <c r="I69" i="10"/>
  <c r="H69" i="10"/>
  <c r="F69" i="10"/>
  <c r="E69" i="10"/>
  <c r="I68" i="10"/>
  <c r="H68" i="10"/>
  <c r="F68" i="10"/>
  <c r="E68" i="10"/>
  <c r="I67" i="10"/>
  <c r="H67" i="10"/>
  <c r="F67" i="10"/>
  <c r="E67" i="10"/>
  <c r="I66" i="10"/>
  <c r="H66" i="10"/>
  <c r="F66" i="10"/>
  <c r="E66" i="10"/>
  <c r="I65" i="10"/>
  <c r="H65" i="10"/>
  <c r="F65" i="10"/>
  <c r="E65" i="10"/>
  <c r="I64" i="10"/>
  <c r="H64" i="10"/>
  <c r="F64" i="10"/>
  <c r="E64" i="10"/>
  <c r="I63" i="10"/>
  <c r="H63" i="10"/>
  <c r="F63" i="10"/>
  <c r="E63" i="10"/>
  <c r="I62" i="10"/>
  <c r="H62" i="10"/>
  <c r="F62" i="10"/>
  <c r="E62" i="10"/>
  <c r="I61" i="10"/>
  <c r="H61" i="10"/>
  <c r="F61" i="10"/>
  <c r="E61" i="10"/>
  <c r="I60" i="10"/>
  <c r="H60" i="10"/>
  <c r="F60" i="10"/>
  <c r="E60" i="10"/>
  <c r="I59" i="10"/>
  <c r="H59" i="10"/>
  <c r="F59" i="10"/>
  <c r="E59" i="10"/>
  <c r="I58" i="10"/>
  <c r="H58" i="10"/>
  <c r="F58" i="10"/>
  <c r="E58" i="10"/>
  <c r="I57" i="10"/>
  <c r="H57" i="10"/>
  <c r="F57" i="10"/>
  <c r="E57" i="10"/>
  <c r="I56" i="10"/>
  <c r="H56" i="10"/>
  <c r="F56" i="10"/>
  <c r="E56" i="10"/>
  <c r="I55" i="10"/>
  <c r="H55" i="10"/>
  <c r="F55" i="10"/>
  <c r="E55" i="10"/>
  <c r="I54" i="10"/>
  <c r="H54" i="10"/>
  <c r="F54" i="10"/>
  <c r="E54" i="10"/>
  <c r="I53" i="10"/>
  <c r="H53" i="10"/>
  <c r="F53" i="10"/>
  <c r="E53" i="10"/>
  <c r="I52" i="10"/>
  <c r="H52" i="10"/>
  <c r="F52" i="10"/>
  <c r="E52" i="10"/>
  <c r="I51" i="10"/>
  <c r="H51" i="10"/>
  <c r="F51" i="10"/>
  <c r="E51" i="10"/>
  <c r="I50" i="10"/>
  <c r="H50" i="10"/>
  <c r="F50" i="10"/>
  <c r="E50" i="10"/>
  <c r="I49" i="10"/>
  <c r="H49" i="10"/>
  <c r="F49" i="10"/>
  <c r="E49" i="10"/>
  <c r="I48" i="10"/>
  <c r="H48" i="10"/>
  <c r="F48" i="10"/>
  <c r="E48" i="10"/>
  <c r="I47" i="10"/>
  <c r="H47" i="10"/>
  <c r="F47" i="10"/>
  <c r="E47" i="10"/>
  <c r="I46" i="10"/>
  <c r="H46" i="10"/>
  <c r="F46" i="10"/>
  <c r="E46" i="10"/>
  <c r="I45" i="10"/>
  <c r="H45" i="10"/>
  <c r="F45" i="10"/>
  <c r="E45" i="10"/>
  <c r="I44" i="10"/>
  <c r="H44" i="10"/>
  <c r="F44" i="10"/>
  <c r="E44" i="10"/>
  <c r="I43" i="10"/>
  <c r="H43" i="10"/>
  <c r="F43" i="10"/>
  <c r="E43" i="10"/>
  <c r="I42" i="10"/>
  <c r="H42" i="10"/>
  <c r="F42" i="10"/>
  <c r="E42" i="10"/>
  <c r="I41" i="10"/>
  <c r="H41" i="10"/>
  <c r="F41" i="10"/>
  <c r="E41" i="10"/>
  <c r="I40" i="10"/>
  <c r="H40" i="10"/>
  <c r="F40" i="10"/>
  <c r="E40" i="10"/>
  <c r="I39" i="10"/>
  <c r="H39" i="10"/>
  <c r="F39" i="10"/>
  <c r="E39" i="10"/>
  <c r="I38" i="10"/>
  <c r="H38" i="10"/>
  <c r="F38" i="10"/>
  <c r="E38" i="10"/>
  <c r="I37" i="10"/>
  <c r="H37" i="10"/>
  <c r="F37" i="10"/>
  <c r="E37" i="10"/>
  <c r="L11" i="7"/>
  <c r="K11" i="7"/>
  <c r="J11" i="7"/>
  <c r="I11" i="7"/>
  <c r="H11" i="7"/>
  <c r="L10" i="7"/>
  <c r="K10" i="7"/>
  <c r="J10" i="7"/>
  <c r="I10" i="7"/>
  <c r="H10" i="7"/>
  <c r="L9" i="7"/>
  <c r="K9" i="7"/>
  <c r="J9" i="7"/>
  <c r="I9" i="7"/>
  <c r="H9" i="7"/>
  <c r="L8" i="7"/>
  <c r="K8" i="7"/>
  <c r="J8" i="7"/>
  <c r="I8" i="7"/>
  <c r="H8" i="7"/>
  <c r="L7" i="7"/>
  <c r="K7" i="7"/>
  <c r="J7" i="7"/>
  <c r="I7" i="7"/>
  <c r="H7" i="7"/>
  <c r="L6" i="7"/>
  <c r="K6" i="7"/>
  <c r="J6" i="7"/>
  <c r="I6" i="7"/>
  <c r="K9" i="6"/>
  <c r="J9" i="6"/>
  <c r="I9" i="6"/>
  <c r="H9" i="6"/>
  <c r="G9" i="6"/>
  <c r="K8" i="6"/>
  <c r="J8" i="6"/>
  <c r="I8" i="6"/>
  <c r="H8" i="6"/>
  <c r="G8" i="6"/>
  <c r="K7" i="6"/>
  <c r="J7" i="6"/>
  <c r="I7" i="6"/>
  <c r="H7" i="6"/>
  <c r="G7" i="6"/>
  <c r="K6" i="6"/>
  <c r="J6" i="6"/>
  <c r="I6" i="6"/>
  <c r="H6" i="6"/>
  <c r="G6" i="6"/>
  <c r="K5" i="6"/>
  <c r="J5" i="6"/>
  <c r="I5" i="6"/>
  <c r="H5" i="6"/>
  <c r="G5" i="6"/>
  <c r="K4" i="6"/>
  <c r="J4" i="6"/>
  <c r="I4" i="6"/>
  <c r="H4" i="6"/>
  <c r="G4" i="6"/>
</calcChain>
</file>

<file path=xl/sharedStrings.xml><?xml version="1.0" encoding="utf-8"?>
<sst xmlns="http://schemas.openxmlformats.org/spreadsheetml/2006/main" count="24077" uniqueCount="2540">
  <si>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</si>
  <si>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</si>
  <si>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</si>
  <si>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</si>
  <si>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</si>
  <si>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</si>
  <si>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</si>
  <si>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</si>
  <si>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</si>
  <si>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</si>
  <si>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</si>
  <si>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</si>
  <si>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</si>
  <si>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</si>
  <si>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</si>
  <si>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</si>
  <si>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</si>
  <si>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</si>
  <si>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</si>
  <si>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</si>
  <si>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</si>
  <si>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</si>
  <si>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</si>
  <si>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</si>
  <si>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</si>
  <si>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</si>
  <si>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</si>
  <si>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</si>
  <si>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</si>
  <si>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</si>
  <si>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</si>
  <si>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</si>
  <si>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</si>
  <si>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</si>
  <si>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</si>
  <si>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</si>
  <si>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</si>
  <si>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</si>
  <si>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</si>
  <si>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</si>
  <si>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</si>
  <si>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</si>
  <si>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</si>
  <si>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</si>
  <si>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</si>
  <si>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</si>
  <si>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</si>
  <si>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</si>
  <si>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</si>
  <si>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</si>
  <si>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</si>
  <si>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</si>
  <si>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</si>
  <si>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</si>
  <si>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</si>
  <si>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</si>
  <si>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</si>
  <si>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</si>
  <si>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</si>
  <si>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</si>
  <si>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</si>
  <si>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</si>
  <si>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</si>
  <si>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</si>
  <si>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</si>
  <si>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</si>
  <si>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</si>
  <si>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</si>
  <si>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</si>
  <si>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</si>
  <si>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</si>
  <si>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</si>
  <si>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</si>
  <si>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</si>
  <si>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</si>
  <si>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</si>
  <si>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</si>
  <si>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</si>
  <si>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</si>
  <si>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</si>
  <si>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</si>
  <si>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</si>
  <si>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</si>
  <si>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</si>
  <si>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</si>
  <si>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</si>
  <si>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</si>
  <si>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</si>
  <si>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</si>
  <si>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</si>
  <si>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</si>
  <si>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</si>
  <si>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</si>
  <si>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</si>
  <si>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</si>
  <si>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</si>
  <si>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</si>
  <si>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</si>
  <si>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</si>
  <si>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</si>
  <si>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</si>
  <si>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</si>
  <si>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</si>
  <si>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</si>
  <si>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</si>
  <si>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</si>
  <si>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</si>
  <si>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</si>
  <si>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</si>
  <si>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</si>
  <si>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</si>
  <si>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</si>
  <si>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</si>
  <si>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</si>
  <si>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</si>
  <si>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</si>
  <si>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</si>
  <si>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</si>
  <si>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</si>
  <si>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</si>
  <si>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</si>
  <si>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</si>
  <si>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</si>
  <si>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</si>
  <si>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</si>
  <si>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</si>
  <si>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</si>
  <si>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</si>
  <si>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</si>
  <si>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</si>
  <si>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</si>
  <si>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</si>
  <si>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</si>
  <si>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</si>
  <si>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</si>
  <si>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</si>
  <si>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</si>
  <si>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</si>
  <si>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</si>
  <si>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</si>
  <si>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</si>
  <si>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</si>
  <si>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</si>
  <si>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</si>
  <si>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</si>
  <si>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</si>
  <si>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</si>
  <si>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</si>
  <si>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</si>
  <si>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</si>
  <si>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</si>
  <si>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</si>
  <si>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</si>
  <si>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</si>
  <si>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</si>
  <si>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</si>
  <si>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</si>
  <si>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</si>
  <si>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</si>
  <si>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</si>
  <si>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</si>
  <si>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</si>
  <si>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</si>
  <si>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</si>
  <si>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</si>
  <si>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</si>
  <si>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</si>
  <si>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</si>
  <si>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</si>
  <si>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</si>
  <si>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</si>
  <si>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</si>
  <si>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</si>
  <si>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</si>
  <si>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</si>
  <si>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</si>
  <si>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</si>
  <si>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</si>
  <si>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</si>
  <si>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</si>
  <si>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</si>
  <si>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</si>
  <si>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</si>
  <si>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</si>
  <si>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</si>
  <si>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</si>
  <si>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</si>
  <si>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</si>
  <si>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</si>
  <si>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</si>
  <si>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</si>
  <si>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</si>
  <si>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</si>
  <si>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</si>
  <si>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</si>
  <si>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</si>
  <si>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</si>
  <si>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</si>
  <si>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</si>
  <si>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</si>
  <si>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</si>
  <si>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</si>
  <si>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</si>
  <si>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</si>
  <si>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</si>
  <si>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</si>
  <si>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</si>
  <si>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</si>
  <si>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</si>
  <si>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</si>
  <si>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</si>
  <si>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</si>
  <si>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</si>
  <si>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</si>
  <si>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</si>
  <si>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</si>
  <si>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</si>
  <si>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</si>
  <si>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</si>
  <si>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</si>
  <si>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</si>
  <si>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</si>
  <si>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</si>
  <si>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</si>
  <si>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</si>
  <si>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</si>
  <si>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</si>
  <si>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</si>
  <si>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</si>
  <si>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</si>
  <si>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</si>
  <si>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</si>
  <si>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</si>
  <si>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</si>
  <si>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</si>
  <si>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</si>
  <si>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</si>
  <si>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</si>
  <si>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</si>
  <si>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</si>
  <si>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</si>
  <si>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</si>
  <si>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</si>
  <si>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</si>
  <si>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</si>
  <si>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</si>
  <si>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</si>
  <si>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</si>
  <si>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</si>
  <si>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</si>
  <si>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</si>
  <si>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</si>
  <si>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</si>
  <si>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</si>
  <si>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</si>
  <si>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</si>
  <si>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</si>
  <si>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</si>
  <si>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</si>
  <si>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</si>
  <si>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</si>
  <si>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</si>
  <si>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</si>
  <si>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</si>
  <si>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</si>
  <si>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</si>
  <si>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</si>
  <si>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</si>
  <si>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</si>
  <si>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</si>
  <si>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</si>
  <si>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</si>
  <si>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</si>
  <si>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</si>
  <si>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</si>
  <si>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</si>
  <si>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</si>
  <si>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</si>
  <si>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</si>
  <si>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</si>
  <si>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</si>
  <si>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</si>
  <si>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</si>
  <si>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</si>
  <si>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</si>
  <si>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</si>
  <si>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</si>
  <si>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</si>
  <si>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</si>
  <si>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</si>
  <si>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</si>
  <si>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</si>
  <si>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</si>
  <si>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</si>
  <si>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</si>
  <si>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</si>
  <si>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</si>
  <si>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</si>
  <si>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</si>
  <si>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</si>
  <si>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</si>
  <si>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</si>
  <si>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</si>
  <si>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</si>
  <si>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</si>
  <si>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</si>
  <si>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</si>
  <si>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</si>
  <si>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</si>
  <si>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</si>
  <si>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</si>
  <si>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</si>
  <si>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</si>
  <si>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</si>
  <si>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</si>
  <si>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</si>
  <si>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</si>
  <si>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</si>
  <si>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</si>
  <si>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</si>
  <si>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</si>
  <si>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</si>
  <si>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</si>
  <si>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</si>
  <si>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</si>
  <si>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</si>
  <si>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</si>
  <si>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</si>
  <si>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</si>
  <si>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</si>
  <si>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</si>
  <si>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</si>
  <si>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</si>
  <si>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</si>
  <si>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</si>
  <si>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</si>
  <si>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</si>
  <si>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</si>
  <si>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</si>
  <si>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</si>
  <si>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</si>
  <si>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</si>
  <si>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</si>
  <si>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</si>
  <si>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</si>
  <si>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</si>
  <si>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</si>
  <si>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</si>
  <si>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</si>
  <si>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</si>
  <si>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</si>
  <si>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</si>
  <si>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</si>
  <si>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</si>
  <si>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</si>
  <si>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</si>
  <si>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</si>
  <si>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</si>
  <si>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</si>
  <si>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</si>
  <si>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</si>
  <si>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</si>
  <si>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</si>
  <si>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</si>
  <si>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</si>
  <si>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</si>
  <si>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</si>
  <si>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</si>
  <si>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</si>
  <si>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</si>
  <si>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</si>
  <si>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</si>
  <si>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</si>
  <si>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</si>
  <si>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</si>
  <si>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</si>
  <si>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</si>
  <si>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</si>
  <si>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</si>
  <si>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</si>
  <si>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</si>
  <si>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</si>
  <si>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</si>
  <si>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</si>
  <si>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</si>
  <si>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</si>
  <si>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</si>
  <si>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</si>
  <si>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</si>
  <si>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</si>
  <si>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</si>
  <si>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</si>
  <si>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</si>
  <si>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</si>
  <si>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</si>
  <si>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</si>
  <si>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</si>
  <si>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</si>
  <si>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</si>
  <si>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</si>
  <si>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</si>
  <si>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</si>
  <si>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</si>
  <si>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</si>
  <si>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</si>
  <si>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</si>
  <si>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</si>
  <si>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</si>
  <si>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</si>
  <si>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</si>
  <si>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</si>
  <si>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</si>
  <si>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</si>
  <si>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</si>
  <si>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</si>
  <si>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</si>
  <si>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</si>
  <si>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</si>
  <si>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</si>
  <si>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</si>
  <si>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</si>
  <si>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</si>
  <si>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</si>
  <si>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</si>
  <si>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</si>
  <si>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</si>
  <si>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</si>
  <si>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</si>
  <si>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</si>
  <si>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</si>
  <si>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</si>
  <si>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</si>
  <si>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</si>
  <si>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</si>
  <si>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</si>
  <si>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</si>
  <si>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</si>
  <si>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</si>
  <si>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</si>
  <si>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</si>
  <si>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</si>
  <si>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</si>
  <si>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</si>
  <si>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</si>
  <si>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</si>
  <si>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</si>
  <si>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</si>
  <si>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</si>
  <si>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</si>
  <si>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</si>
  <si>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</si>
  <si>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</si>
  <si>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</si>
  <si>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</si>
  <si>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</si>
  <si>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</si>
  <si>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</si>
  <si>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</si>
  <si>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</si>
  <si>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</si>
  <si>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</si>
  <si>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</si>
  <si>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</si>
  <si>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</si>
  <si>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</si>
  <si>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</si>
  <si>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</si>
  <si>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</si>
  <si>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</si>
  <si>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</si>
  <si>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</si>
  <si>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</si>
  <si>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</si>
  <si>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</si>
  <si>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</si>
  <si>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</si>
  <si>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</si>
  <si>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</si>
  <si>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</si>
  <si>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</si>
  <si>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</si>
  <si>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</si>
  <si>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</si>
  <si>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</si>
  <si>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</si>
  <si>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</si>
  <si>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</si>
  <si>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</si>
  <si>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</si>
  <si>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</si>
  <si>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</si>
  <si>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</si>
  <si>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</si>
  <si>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</si>
  <si>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</si>
  <si>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</si>
  <si>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</si>
  <si>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</si>
  <si>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</si>
  <si>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</si>
  <si>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</si>
  <si>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</si>
  <si>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</si>
  <si>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</si>
  <si>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</si>
  <si>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</si>
  <si>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</si>
  <si>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</si>
  <si>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</si>
  <si>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</si>
  <si>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</si>
  <si>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</si>
  <si>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</si>
  <si>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</si>
  <si>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</si>
  <si>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</si>
  <si>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</si>
  <si>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</si>
  <si>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</si>
  <si>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</si>
  <si>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</si>
  <si>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</si>
  <si>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</si>
  <si>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</si>
  <si>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</si>
  <si>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</si>
  <si>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</si>
  <si>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</si>
  <si>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</si>
  <si>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</si>
  <si>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</si>
  <si>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</si>
  <si>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</si>
  <si>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</si>
  <si>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</si>
  <si>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</si>
  <si>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</si>
  <si>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</si>
  <si>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</si>
  <si>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</si>
  <si>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</si>
  <si>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</si>
  <si>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</si>
  <si>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</si>
  <si>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</si>
  <si>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</si>
  <si>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</si>
  <si>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</si>
  <si>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</si>
  <si>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</si>
  <si>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</si>
  <si>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</si>
  <si>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</si>
  <si>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</si>
  <si>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</si>
  <si>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</si>
  <si>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</si>
  <si>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</si>
  <si>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</si>
  <si>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</si>
  <si>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</si>
  <si>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</si>
  <si>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</si>
  <si>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</si>
  <si>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</si>
  <si>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</si>
  <si>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</si>
  <si>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</si>
  <si>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</si>
  <si>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</si>
  <si>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</si>
  <si>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</si>
  <si>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</si>
  <si>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</si>
  <si>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</si>
  <si>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</si>
  <si>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</si>
  <si>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</si>
  <si>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</si>
  <si>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</si>
  <si>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</si>
  <si>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</si>
  <si>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</si>
  <si>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</si>
  <si>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</si>
  <si>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</si>
  <si>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</si>
  <si>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</si>
  <si>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</si>
  <si>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</si>
  <si>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</si>
  <si>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</si>
  <si>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</si>
  <si>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</si>
  <si>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</si>
  <si>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</si>
  <si>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</si>
  <si>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</si>
  <si>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</si>
  <si>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</si>
  <si>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</si>
  <si>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</si>
  <si>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</si>
  <si>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</si>
  <si>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</si>
  <si>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</si>
  <si>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</si>
  <si>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</si>
  <si>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</si>
  <si>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</si>
  <si>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</si>
  <si>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</si>
  <si>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</si>
  <si>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</si>
  <si>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</si>
  <si>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</si>
  <si>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</si>
  <si>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</si>
  <si>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</si>
  <si>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</si>
  <si>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</si>
  <si>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</si>
  <si>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</si>
  <si>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</si>
  <si>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</si>
  <si>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</si>
  <si>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</si>
  <si>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</si>
  <si>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</si>
  <si>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</si>
  <si>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</si>
  <si>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</si>
  <si>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</si>
  <si>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</si>
  <si>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</si>
  <si>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</si>
  <si>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</si>
  <si>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</si>
  <si>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</si>
  <si>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</si>
  <si>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</si>
  <si>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</si>
  <si>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</si>
  <si>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</si>
  <si>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</si>
  <si>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</si>
  <si>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</si>
  <si>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</si>
  <si>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</si>
  <si>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</si>
  <si>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</si>
  <si>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</si>
  <si>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</si>
  <si>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</si>
  <si>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</si>
  <si>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</si>
  <si>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</si>
  <si>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</si>
  <si>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</si>
  <si>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</si>
  <si>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</si>
  <si>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</si>
  <si>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</si>
  <si>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</si>
  <si>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</si>
  <si>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</si>
  <si>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</si>
  <si>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</si>
  <si>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</si>
  <si>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</si>
  <si>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</si>
  <si>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</si>
  <si>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</si>
  <si>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</si>
  <si>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</si>
  <si>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</si>
  <si>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</si>
  <si>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</si>
  <si>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</si>
  <si>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</si>
  <si>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</si>
  <si>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</si>
  <si>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</si>
  <si>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</si>
  <si>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</si>
  <si>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</si>
  <si>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</si>
  <si>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</si>
  <si>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</si>
  <si>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</si>
  <si>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</si>
  <si>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</si>
  <si>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</si>
  <si>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</si>
  <si>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</si>
  <si>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</si>
  <si>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</si>
  <si>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</si>
  <si>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</si>
  <si>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</si>
  <si>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</si>
  <si>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</si>
  <si>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</si>
  <si>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</si>
  <si>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</si>
  <si>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</si>
  <si>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</si>
  <si>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</si>
  <si>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</si>
  <si>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</si>
  <si>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</si>
  <si>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</si>
  <si>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</si>
  <si>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</si>
  <si>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</si>
  <si>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</si>
  <si>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</si>
  <si>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</si>
  <si>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</si>
  <si>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</si>
  <si>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</si>
  <si>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</si>
  <si>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</si>
  <si>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</si>
  <si>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</si>
  <si>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</si>
  <si>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</si>
  <si>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</si>
  <si>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</si>
  <si>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</si>
  <si>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</si>
  <si>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</si>
  <si>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</si>
  <si>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</si>
  <si>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</si>
  <si>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</si>
  <si>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</si>
  <si>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</si>
  <si>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</si>
  <si>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</si>
  <si>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</si>
  <si>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</si>
  <si>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</si>
  <si>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</si>
  <si>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</si>
  <si>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</si>
  <si>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</si>
  <si>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</si>
  <si>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</si>
  <si>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</si>
  <si>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</si>
  <si>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</si>
  <si>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</si>
  <si>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</si>
  <si>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</si>
  <si>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</si>
  <si>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</si>
  <si>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</si>
  <si>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</si>
  <si>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</si>
  <si>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</si>
  <si>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</si>
  <si>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</si>
  <si>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</si>
  <si>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</si>
  <si>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</si>
  <si>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</si>
  <si>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</si>
  <si>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</si>
  <si>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</si>
  <si>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</si>
  <si>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</si>
  <si>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</si>
  <si>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</si>
  <si>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</si>
  <si>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</si>
  <si>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</si>
  <si>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</si>
  <si>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</si>
  <si>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</si>
  <si>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</si>
  <si>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</si>
  <si>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</si>
  <si>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</si>
  <si>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</si>
  <si>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</si>
  <si>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</si>
  <si>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</si>
  <si>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</si>
  <si>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</si>
  <si>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</si>
  <si>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</si>
  <si>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</si>
  <si>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</si>
  <si>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</si>
  <si>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</si>
  <si>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</si>
  <si>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</si>
  <si>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</si>
  <si>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</si>
  <si>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</si>
  <si>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</si>
  <si>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</si>
  <si>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</si>
  <si>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</si>
  <si>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</si>
  <si>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</si>
  <si>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</si>
  <si>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</si>
  <si>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</si>
  <si>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</si>
  <si>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</si>
  <si>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</si>
  <si>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</si>
  <si>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</si>
  <si>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</si>
  <si>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</si>
  <si>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</si>
  <si>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</si>
  <si>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</si>
  <si>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</si>
  <si>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</si>
  <si>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</si>
  <si>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</si>
  <si>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</si>
  <si>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</si>
  <si>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</si>
  <si>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</si>
  <si>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</si>
  <si>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</si>
  <si>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</si>
  <si>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</si>
  <si>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</si>
  <si>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</si>
  <si>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</si>
  <si>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</si>
  <si>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</si>
  <si>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</si>
  <si>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</si>
  <si>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</si>
  <si>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</si>
  <si>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</si>
  <si>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</si>
  <si>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</si>
  <si>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</si>
  <si>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</si>
  <si>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</si>
  <si>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</si>
  <si>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</si>
  <si>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</si>
  <si>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</si>
  <si>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</si>
  <si>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</si>
  <si>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</si>
  <si>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</si>
  <si>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</si>
  <si>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</si>
  <si>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</si>
  <si>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</si>
  <si>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</si>
  <si>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</si>
  <si>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</si>
  <si>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</si>
  <si>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</si>
  <si>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</si>
  <si>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</si>
  <si>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</si>
  <si>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</si>
  <si>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</si>
  <si>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</si>
  <si>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</si>
  <si>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</si>
  <si>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</si>
  <si>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</si>
  <si>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</si>
  <si>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</si>
  <si>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</si>
  <si>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</si>
  <si>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</si>
  <si>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</si>
  <si>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</si>
  <si>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</si>
  <si>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</si>
  <si>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</si>
  <si>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</si>
  <si>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</si>
  <si>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</si>
  <si>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</si>
  <si>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</si>
  <si>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</si>
  <si>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</si>
  <si>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</si>
  <si>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</si>
  <si>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</si>
  <si>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</si>
  <si>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</si>
  <si>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</si>
  <si>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</si>
  <si>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</si>
  <si>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</si>
  <si>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</si>
  <si>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</si>
  <si>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</si>
  <si>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</si>
  <si>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</si>
  <si>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</si>
  <si>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</si>
  <si>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</si>
  <si>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</si>
  <si>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</si>
  <si>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</si>
  <si>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</si>
  <si>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</si>
  <si>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</si>
  <si>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</si>
  <si>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</si>
  <si>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</si>
  <si>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</si>
  <si>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</si>
  <si>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</si>
  <si>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</si>
  <si>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</si>
  <si>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</si>
  <si>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</si>
  <si>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</si>
  <si>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</si>
  <si>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</si>
  <si>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</si>
  <si>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</si>
  <si>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</si>
  <si>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</si>
  <si>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</si>
  <si>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</si>
  <si>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</si>
  <si>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</si>
  <si>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</si>
  <si>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</si>
  <si>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</si>
  <si>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</si>
  <si>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</si>
  <si>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</si>
  <si>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</si>
  <si>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</si>
  <si>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</si>
  <si>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</si>
  <si>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</si>
  <si>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</si>
  <si>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</si>
  <si>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</si>
  <si>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</si>
  <si>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</si>
  <si>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</si>
  <si>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</si>
  <si>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</si>
  <si>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</si>
  <si>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</si>
  <si>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</si>
  <si>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</si>
  <si>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</si>
  <si>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</si>
  <si>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</si>
  <si>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</si>
  <si>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</si>
  <si>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</si>
  <si>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</si>
  <si>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</si>
  <si>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</si>
  <si>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</si>
  <si>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</si>
  <si>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</si>
  <si>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</si>
  <si>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</si>
  <si>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</si>
  <si>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</si>
  <si>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</si>
  <si>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</si>
  <si>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</si>
  <si>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</si>
  <si>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</si>
  <si>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</si>
  <si>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</si>
  <si>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</si>
  <si>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</si>
  <si>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</si>
  <si>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</si>
  <si>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</si>
  <si>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</si>
  <si>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</si>
  <si>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</si>
  <si>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</si>
  <si>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</si>
  <si>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</si>
  <si>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</si>
  <si>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</si>
  <si>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</si>
  <si>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</si>
  <si>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</si>
  <si>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</si>
  <si>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</si>
  <si>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</si>
  <si>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</si>
  <si>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</si>
  <si>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</si>
  <si>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</si>
  <si>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</si>
  <si>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</si>
  <si>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</si>
  <si>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</si>
  <si>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</si>
  <si>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</si>
  <si>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</si>
  <si>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</si>
  <si>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</si>
  <si>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</si>
  <si>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</si>
  <si>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</si>
  <si>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</si>
  <si>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</si>
  <si>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</si>
  <si>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</si>
  <si>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</si>
  <si>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</si>
  <si>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</si>
  <si>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</si>
  <si>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</si>
  <si>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</si>
  <si>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</si>
  <si>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</si>
  <si>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</si>
  <si>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</si>
  <si>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</si>
  <si>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</si>
  <si>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</si>
  <si>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</si>
  <si>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</si>
  <si>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</si>
  <si>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</si>
  <si>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</si>
  <si>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</si>
  <si>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</si>
  <si>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</si>
  <si>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</si>
  <si>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</si>
  <si>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</si>
  <si>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</si>
  <si>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</si>
  <si>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</si>
  <si>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</si>
  <si>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</si>
  <si>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</si>
  <si>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</si>
  <si>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</si>
  <si>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</si>
  <si>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</si>
  <si>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</si>
  <si>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</si>
  <si>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</si>
  <si>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</si>
  <si>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</si>
  <si>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</si>
  <si>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</si>
  <si>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</si>
  <si>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</si>
  <si>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</si>
  <si>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</si>
  <si>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</si>
  <si>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</si>
  <si>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</si>
  <si>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</si>
  <si>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</si>
  <si>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</si>
  <si>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</si>
  <si>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</si>
  <si>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</si>
  <si>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</si>
  <si>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</si>
  <si>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</si>
  <si>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</si>
  <si>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</si>
  <si>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</si>
  <si>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</si>
  <si>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</si>
  <si>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</si>
  <si>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</si>
  <si>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</si>
  <si>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</si>
  <si>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</si>
  <si>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</si>
  <si>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</si>
  <si>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</si>
  <si>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</si>
  <si>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</si>
  <si>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</si>
  <si>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</si>
  <si>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</si>
  <si>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</si>
  <si>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</si>
  <si>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</si>
  <si>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</si>
  <si>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</si>
  <si>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</si>
  <si>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</si>
  <si>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</si>
  <si>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</si>
  <si>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</si>
  <si>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</si>
  <si>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</si>
  <si>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</si>
  <si>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</si>
  <si>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</si>
  <si>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</si>
  <si>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</si>
  <si>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</si>
  <si>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</si>
  <si>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</si>
  <si>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</si>
  <si>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</si>
  <si>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</si>
  <si>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</si>
  <si>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</si>
  <si>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</si>
  <si>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</si>
  <si>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</si>
  <si>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</si>
  <si>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</si>
  <si>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</si>
  <si>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</si>
  <si>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</si>
  <si>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</si>
  <si>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</si>
  <si>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</si>
  <si>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</si>
  <si>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</si>
  <si>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</si>
  <si>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</si>
  <si>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</si>
  <si>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</si>
  <si>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</si>
  <si>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</si>
  <si>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</si>
  <si>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</si>
  <si>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</si>
  <si>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</si>
  <si>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</si>
  <si>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</si>
  <si>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</si>
  <si>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</si>
  <si>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</si>
  <si>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</si>
  <si>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</si>
  <si>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</si>
  <si>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</si>
  <si>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</si>
  <si>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</si>
  <si>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</si>
  <si>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</si>
  <si>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</si>
  <si>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</si>
  <si>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</si>
  <si>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</si>
  <si>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</si>
  <si>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</si>
  <si>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</si>
  <si>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</si>
  <si>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</si>
  <si>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</si>
  <si>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</si>
  <si>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</si>
  <si>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</si>
  <si>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</si>
  <si>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</si>
  <si>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</si>
  <si>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</si>
  <si>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</si>
  <si>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</si>
  <si>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</si>
  <si>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</si>
  <si>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</si>
  <si>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</si>
  <si>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</si>
  <si>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</si>
  <si>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</si>
  <si>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</si>
  <si>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</si>
  <si>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</si>
  <si>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</si>
  <si>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</si>
  <si>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</si>
  <si>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</si>
  <si>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</si>
  <si>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</si>
  <si>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</si>
  <si>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</si>
  <si>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</si>
  <si>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</si>
  <si>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</si>
  <si>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</si>
  <si>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</si>
  <si>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</si>
  <si>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</si>
  <si>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</si>
  <si>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</si>
  <si>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</si>
  <si>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</si>
  <si>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</si>
  <si>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</si>
  <si>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</si>
  <si>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</si>
  <si>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</si>
  <si>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</si>
  <si>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</si>
  <si>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</si>
  <si>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</si>
  <si>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</si>
  <si>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</si>
  <si>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</si>
  <si>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</si>
  <si>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</si>
  <si>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</si>
  <si>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</si>
  <si>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</si>
  <si>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</si>
  <si>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</si>
  <si>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</si>
  <si>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</si>
  <si>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</si>
  <si>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</si>
  <si>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</si>
  <si>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</si>
  <si>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</si>
  <si>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</si>
  <si>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</si>
  <si>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</si>
  <si>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</si>
  <si>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</si>
  <si>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</si>
  <si>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</si>
  <si>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</si>
  <si>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</si>
  <si>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</si>
  <si>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</si>
  <si>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</si>
  <si>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</si>
  <si>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</si>
  <si>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</si>
  <si>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</si>
  <si>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</si>
  <si>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</si>
  <si>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</si>
  <si>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</si>
  <si>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</si>
  <si>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</si>
  <si>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</si>
  <si>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</si>
  <si>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</si>
  <si>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</si>
  <si>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</si>
  <si>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</si>
  <si>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</si>
  <si>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</si>
  <si>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</si>
  <si>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</si>
  <si>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</si>
  <si>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</si>
  <si>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</si>
  <si>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</si>
  <si>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</si>
  <si>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</si>
  <si>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</si>
  <si>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</si>
  <si>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</si>
  <si>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</si>
  <si>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</si>
  <si>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</si>
  <si>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</si>
  <si>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</si>
  <si>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</si>
  <si>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</si>
  <si>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</si>
  <si>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</si>
  <si>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</si>
  <si>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</si>
  <si>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</si>
  <si>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</si>
  <si>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</si>
  <si>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</si>
  <si>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</si>
  <si>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</si>
  <si>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</si>
  <si>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</si>
  <si>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</si>
  <si>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</si>
  <si>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</si>
  <si>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</si>
  <si>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</si>
  <si>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</si>
  <si>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</si>
  <si>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</si>
  <si>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</si>
  <si>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</si>
  <si>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</si>
  <si>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</si>
  <si>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</si>
  <si>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</si>
  <si>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</si>
  <si>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</si>
  <si>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</si>
  <si>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</si>
  <si>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</si>
  <si>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</si>
  <si>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</si>
  <si>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</si>
  <si>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</si>
  <si>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</si>
  <si>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</si>
  <si>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</si>
  <si>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</si>
  <si>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</si>
  <si>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</si>
  <si>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</si>
  <si>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</si>
  <si>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</si>
  <si>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</si>
  <si>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</si>
  <si>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</si>
  <si>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</si>
  <si>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</si>
  <si>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</si>
  <si>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</si>
  <si>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</si>
  <si>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</si>
  <si>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</si>
  <si>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</si>
  <si>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</si>
  <si>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</si>
  <si>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</si>
  <si>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</si>
  <si>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</si>
  <si>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</si>
  <si>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</si>
  <si>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</si>
  <si>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</si>
  <si>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</si>
  <si>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</si>
  <si>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</si>
  <si>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</si>
  <si>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</si>
  <si>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</si>
  <si>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</si>
  <si>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</si>
  <si>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</si>
  <si>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</si>
  <si>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</si>
  <si>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</si>
  <si>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</si>
  <si>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</si>
  <si>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</si>
  <si>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</si>
  <si>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</si>
  <si>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</si>
  <si>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</si>
  <si>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</si>
  <si>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</si>
  <si>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</si>
  <si>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</si>
  <si>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</si>
  <si>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</si>
  <si>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</si>
  <si>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</si>
  <si>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</si>
  <si>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</si>
  <si>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</si>
  <si>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</si>
  <si>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</si>
  <si>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</si>
  <si>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</si>
  <si>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</si>
  <si>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</si>
  <si>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</si>
  <si>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</si>
  <si>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</si>
  <si>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</si>
  <si>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</si>
  <si>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</si>
  <si>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</si>
  <si>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</si>
  <si>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</si>
  <si>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</si>
  <si>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</si>
  <si>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</si>
  <si>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</si>
  <si>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</si>
  <si>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</si>
  <si>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</si>
  <si>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</si>
  <si>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</si>
  <si>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</si>
  <si>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</si>
  <si>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</si>
  <si>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</si>
  <si>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</si>
  <si>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</si>
  <si>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</si>
  <si>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</si>
  <si>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</si>
  <si>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</si>
  <si>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</si>
  <si>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</si>
  <si>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</si>
  <si>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</si>
  <si>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</si>
  <si>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</si>
  <si>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</si>
  <si>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</si>
  <si>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</si>
  <si>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</si>
  <si>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</si>
  <si>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</si>
  <si>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</si>
  <si>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</si>
  <si>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</si>
  <si>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</si>
  <si>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</si>
  <si>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</si>
  <si>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</si>
  <si>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</si>
  <si>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</si>
  <si>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</si>
  <si>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</si>
  <si>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</si>
  <si>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</si>
  <si>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</si>
  <si>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</si>
  <si>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</si>
  <si>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</si>
  <si>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</si>
  <si>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</si>
  <si>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</si>
  <si>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</si>
  <si>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</si>
  <si>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</si>
  <si>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</si>
  <si>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</si>
  <si>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</si>
  <si>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</si>
  <si>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</si>
  <si>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</si>
  <si>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</si>
  <si>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</si>
  <si>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</si>
  <si>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</si>
  <si>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</si>
  <si>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</si>
  <si>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</si>
  <si>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</si>
  <si>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</si>
  <si>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</si>
  <si>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</si>
  <si>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</si>
  <si>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</si>
  <si>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</si>
  <si>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</si>
  <si>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</si>
  <si>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</si>
  <si>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</si>
  <si>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</si>
  <si>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</si>
  <si>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</si>
  <si>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</si>
  <si>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</si>
  <si>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</si>
  <si>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</si>
  <si>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</si>
  <si>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</si>
  <si>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</si>
  <si>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</si>
  <si>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</si>
  <si>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</si>
  <si>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</si>
  <si>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</si>
  <si>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</si>
  <si>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</si>
  <si>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</si>
  <si>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</si>
  <si>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</si>
  <si>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</si>
  <si>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</si>
  <si>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</si>
  <si>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</si>
  <si>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</si>
  <si>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</si>
  <si>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</si>
  <si>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</si>
  <si>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</si>
  <si>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</si>
  <si>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</si>
  <si>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</si>
  <si>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</si>
  <si>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</si>
  <si>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</si>
  <si>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</si>
  <si>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</si>
  <si>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</si>
  <si>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</si>
  <si>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</si>
  <si>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</si>
  <si>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</si>
  <si>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</si>
  <si>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</si>
  <si>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</si>
  <si>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</si>
  <si>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</si>
  <si>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</si>
  <si>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</si>
  <si>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</si>
  <si>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</si>
  <si>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</si>
  <si>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</si>
  <si>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</si>
  <si>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</si>
  <si>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</si>
  <si>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</si>
  <si>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</si>
  <si>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</si>
  <si>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</si>
  <si>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</si>
  <si>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</si>
  <si>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</si>
  <si>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</si>
  <si>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</si>
  <si>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</si>
  <si>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</si>
  <si>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</si>
  <si>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</si>
  <si>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</si>
  <si>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</si>
  <si>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</si>
  <si>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</si>
  <si>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</si>
  <si>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</si>
  <si>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</si>
  <si>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</si>
  <si>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</si>
  <si>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</si>
  <si>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</si>
  <si>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</si>
  <si>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</si>
  <si>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</si>
  <si>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</si>
  <si>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</si>
  <si>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</si>
  <si>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</si>
  <si>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</si>
  <si>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</si>
  <si>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</si>
  <si>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</si>
  <si>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</si>
  <si>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</si>
  <si>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</si>
  <si>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</si>
  <si>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</si>
  <si>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</si>
  <si>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</si>
  <si>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</si>
  <si>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</si>
  <si>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</si>
  <si>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</si>
  <si>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</si>
  <si>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</si>
  <si>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</si>
  <si>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</si>
  <si>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</si>
  <si>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</si>
  <si>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</si>
  <si>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</si>
  <si>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</si>
  <si>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</si>
  <si>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</si>
  <si>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</si>
  <si>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</si>
  <si>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</si>
  <si>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</si>
  <si>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</si>
  <si>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</si>
  <si>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</si>
  <si>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</si>
  <si>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</si>
  <si>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</si>
  <si>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</si>
  <si>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</si>
  <si>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</si>
  <si>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</si>
  <si>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</si>
  <si>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</si>
  <si>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</si>
  <si>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</si>
  <si>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</si>
  <si>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</si>
  <si>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</si>
  <si>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</si>
  <si>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</si>
  <si>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</si>
  <si>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</si>
  <si>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</si>
  <si>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</si>
  <si>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</si>
  <si>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</si>
  <si>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</si>
  <si>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</si>
  <si>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</si>
  <si>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</si>
  <si>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</si>
  <si>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</si>
  <si>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</si>
  <si>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</si>
  <si>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</si>
  <si>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</si>
  <si>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</si>
  <si>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</si>
  <si>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</si>
  <si>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</si>
  <si>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</si>
  <si>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</si>
  <si>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</si>
  <si>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</si>
  <si>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</si>
  <si>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</si>
  <si>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</si>
  <si>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</si>
  <si>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</si>
  <si>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</si>
  <si>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</si>
  <si>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</si>
  <si>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</si>
  <si>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</si>
  <si>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</si>
  <si>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</si>
  <si>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</si>
  <si>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</si>
  <si>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</si>
  <si>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</si>
  <si>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</si>
  <si>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</si>
  <si>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</si>
  <si>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</si>
  <si>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</si>
  <si>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</si>
  <si>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</si>
  <si>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</si>
  <si>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</si>
  <si>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</si>
  <si>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</si>
  <si>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</si>
  <si>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</si>
  <si>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</si>
  <si>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</si>
  <si>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</si>
  <si>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</si>
  <si>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</si>
  <si>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</si>
  <si>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</si>
  <si>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</si>
  <si>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</si>
  <si>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</si>
  <si>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</si>
  <si>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</si>
  <si>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</si>
  <si>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</si>
  <si>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</si>
  <si>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</si>
  <si>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</si>
  <si>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</si>
  <si>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</si>
  <si>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</si>
  <si>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</si>
  <si>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</si>
  <si>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</si>
  <si>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</si>
  <si>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</si>
  <si>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</si>
  <si>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</si>
  <si>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</si>
  <si>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</si>
  <si>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</si>
  <si>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</si>
  <si>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</si>
  <si>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</si>
  <si>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</si>
  <si>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</si>
  <si>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</si>
  <si>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</si>
  <si>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</si>
  <si>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</si>
  <si>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</si>
  <si>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</si>
  <si>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</si>
  <si>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</si>
  <si>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</si>
  <si>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</si>
  <si>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</si>
  <si>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</si>
  <si>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</si>
  <si>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</si>
  <si>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</si>
  <si>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</si>
  <si>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</si>
  <si>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</si>
  <si>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</si>
  <si>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</si>
  <si>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</si>
  <si>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</si>
  <si>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</si>
  <si>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</si>
  <si>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</si>
  <si>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</si>
  <si>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</si>
  <si>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</si>
  <si>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</si>
  <si>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</si>
  <si>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</si>
  <si>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</si>
  <si>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</si>
  <si>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</si>
  <si>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</si>
  <si>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</si>
  <si>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</si>
  <si>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</si>
  <si>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</si>
  <si>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</si>
  <si>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</si>
  <si>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</si>
  <si>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</si>
  <si>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</si>
  <si>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</si>
  <si>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</si>
  <si>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</si>
  <si>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</si>
  <si>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</si>
  <si>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</si>
  <si>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</si>
  <si>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</si>
  <si>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</si>
  <si>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</si>
  <si>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</si>
  <si>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</si>
  <si>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</si>
  <si>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</si>
  <si>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</si>
  <si>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</si>
  <si>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</si>
  <si>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</si>
  <si>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</si>
  <si>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</si>
  <si>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</si>
  <si>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</si>
  <si>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</si>
  <si>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</si>
  <si>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</si>
  <si>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</si>
  <si>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</si>
  <si>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</si>
  <si>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</si>
  <si>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</si>
  <si>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</si>
  <si>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</si>
  <si>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</si>
  <si>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</si>
  <si>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</si>
  <si>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</si>
  <si>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</si>
  <si>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</si>
  <si>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</si>
  <si>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</si>
  <si>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</si>
  <si>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</si>
  <si>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</si>
  <si>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</si>
  <si>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</si>
  <si>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</si>
  <si>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</si>
  <si>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</si>
  <si>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</si>
  <si>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</si>
  <si>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</si>
  <si>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</si>
  <si>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</si>
  <si>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</si>
  <si>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</si>
  <si>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</si>
  <si>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</si>
  <si>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</si>
  <si>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</si>
  <si>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</si>
  <si>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</si>
  <si>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</si>
  <si>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</si>
  <si>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</si>
  <si>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</si>
  <si>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</si>
  <si>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</si>
  <si>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</si>
  <si>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</si>
  <si>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</si>
  <si>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</si>
  <si>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</si>
  <si>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</si>
  <si>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</si>
  <si>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</si>
  <si>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</si>
  <si>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</si>
  <si>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</si>
  <si>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</si>
  <si>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</si>
  <si>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</si>
  <si>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</si>
  <si>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</si>
  <si>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</si>
  <si>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</si>
  <si>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</si>
  <si>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</si>
  <si>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</si>
  <si>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</si>
  <si>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</si>
  <si>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</si>
  <si>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</si>
  <si>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</si>
  <si>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</si>
  <si>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</si>
  <si>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</si>
  <si>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</si>
  <si>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</si>
  <si>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</si>
  <si>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</si>
  <si>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</si>
  <si>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</si>
  <si>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</si>
  <si>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</si>
  <si>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</si>
  <si>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</si>
  <si>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</si>
  <si>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</si>
  <si>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</si>
  <si>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</si>
  <si>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</si>
  <si>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</si>
  <si>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</si>
  <si>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</si>
  <si>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</si>
  <si>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</si>
  <si>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</si>
  <si>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</si>
  <si>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</si>
  <si>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</si>
  <si>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</si>
  <si>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</si>
  <si>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</si>
  <si>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</si>
  <si>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</si>
  <si>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</si>
  <si>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</si>
  <si>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</si>
  <si>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</si>
  <si>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</si>
  <si>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</si>
  <si>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</si>
  <si>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</si>
  <si>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</si>
  <si>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</si>
  <si>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</si>
  <si>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</si>
  <si>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</si>
  <si>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</si>
  <si>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</si>
  <si>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</si>
  <si>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</si>
  <si>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</si>
  <si>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</si>
  <si>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</si>
  <si>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</si>
  <si>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</si>
  <si>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</si>
  <si>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</si>
  <si>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</si>
  <si>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</si>
  <si>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</si>
  <si>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</si>
  <si>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</si>
  <si>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</si>
  <si>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</si>
  <si>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</si>
  <si>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</si>
  <si>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</si>
  <si>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</si>
  <si>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</si>
  <si>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</si>
  <si>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</si>
  <si>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</si>
  <si>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</si>
  <si>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</si>
  <si>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</si>
  <si>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</si>
  <si>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</si>
  <si>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</si>
  <si>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</si>
  <si>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</si>
  <si>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</si>
  <si>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</si>
  <si>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</si>
  <si>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</si>
  <si>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</si>
  <si>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</si>
  <si>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</si>
  <si>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</si>
  <si>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</si>
  <si>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</si>
  <si>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</si>
  <si>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</si>
  <si>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</si>
  <si>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</si>
  <si>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</si>
  <si>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</si>
  <si>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</si>
  <si>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</si>
  <si>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</si>
  <si>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</si>
  <si>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</si>
  <si>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</si>
  <si>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</si>
  <si>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</si>
  <si>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</si>
  <si>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</si>
  <si>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</si>
  <si>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</si>
  <si>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</si>
  <si>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</si>
  <si>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</si>
  <si>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</si>
  <si>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</si>
  <si>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</si>
  <si>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</si>
  <si>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</si>
  <si>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</si>
  <si>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</si>
  <si>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</si>
  <si>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</si>
  <si>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</si>
  <si>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</si>
  <si>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</si>
  <si>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</si>
  <si>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</si>
  <si>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</si>
  <si>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</si>
  <si>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</si>
  <si>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</si>
  <si>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</si>
  <si>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</si>
  <si>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</si>
  <si>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</si>
  <si>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</si>
  <si>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</si>
  <si>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</si>
  <si>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</si>
  <si>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</si>
  <si>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</si>
  <si>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</si>
  <si>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</si>
  <si>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</si>
  <si>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</si>
  <si>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</si>
  <si>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</si>
  <si>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</si>
  <si>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</si>
  <si>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</si>
  <si>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</si>
  <si>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</si>
  <si>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</si>
  <si>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</si>
  <si>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</si>
  <si>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</si>
  <si>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</si>
  <si>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</si>
  <si>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</si>
  <si>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</si>
  <si>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</si>
  <si>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</si>
  <si>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</si>
  <si>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</si>
  <si>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</si>
  <si>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</si>
  <si>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</si>
  <si>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</si>
  <si>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</si>
  <si>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</si>
  <si>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</si>
  <si>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</si>
  <si>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</si>
  <si>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</si>
  <si>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</si>
  <si>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</si>
  <si>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</si>
  <si>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</si>
  <si>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</si>
  <si>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</si>
  <si>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</si>
  <si>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</si>
  <si>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</si>
  <si>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</si>
  <si>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</si>
  <si>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</si>
  <si>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</si>
  <si>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</si>
  <si>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</si>
  <si>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</si>
  <si>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</si>
  <si>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</si>
  <si>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</si>
  <si>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</si>
  <si>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</si>
  <si>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</si>
  <si>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</si>
  <si>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</si>
  <si>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</si>
  <si>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</si>
  <si>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</si>
  <si>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</si>
  <si>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</si>
  <si>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</si>
  <si>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</si>
  <si>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</si>
  <si>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</si>
  <si>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</si>
  <si>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</si>
  <si>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</si>
  <si>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</si>
  <si>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</si>
  <si>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</si>
  <si>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</si>
  <si>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</si>
  <si>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</si>
  <si>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</si>
  <si>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</si>
  <si>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</si>
  <si>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</si>
  <si>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</si>
  <si>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</si>
  <si>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</si>
  <si>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</si>
  <si>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</si>
  <si>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</si>
  <si>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</si>
  <si>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</si>
  <si>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</si>
  <si>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</si>
  <si>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</si>
  <si>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</si>
  <si>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</si>
  <si>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</si>
  <si>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</si>
  <si>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</si>
  <si>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</si>
  <si>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</si>
  <si>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</si>
  <si>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</si>
  <si>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</si>
  <si>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</si>
  <si>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</si>
  <si>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</si>
  <si>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</si>
  <si>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</si>
  <si>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</si>
  <si>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</si>
  <si>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</si>
  <si>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</si>
  <si>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</si>
  <si>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</si>
  <si>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</si>
  <si>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</si>
  <si>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</si>
  <si>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</si>
  <si>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</si>
  <si>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</si>
  <si>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</si>
  <si>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</si>
  <si>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</si>
  <si>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</si>
  <si>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</si>
  <si>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</si>
  <si>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</si>
  <si>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</si>
  <si>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</si>
  <si>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</si>
  <si>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</si>
  <si>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</si>
  <si>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</si>
  <si>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</si>
  <si>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</si>
  <si>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</si>
  <si>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</si>
  <si>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</si>
  <si>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</si>
  <si>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</si>
  <si>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</si>
  <si>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</si>
  <si>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</si>
  <si>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</si>
  <si>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</si>
  <si>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</si>
  <si>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</si>
  <si>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</si>
  <si>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</si>
  <si>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</si>
  <si>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</si>
  <si>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</si>
  <si>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</si>
  <si>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</si>
  <si>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</si>
  <si>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</si>
  <si>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</si>
  <si>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</si>
  <si>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</si>
  <si>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</si>
  <si>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</si>
  <si>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</si>
  <si>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</si>
  <si>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</si>
  <si>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</si>
  <si>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</si>
  <si>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</si>
  <si>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</si>
  <si>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</si>
  <si>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</si>
  <si>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</si>
  <si>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</si>
  <si>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</si>
  <si>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</si>
  <si>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</si>
  <si>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</si>
  <si>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</si>
  <si>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</si>
  <si>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</si>
  <si>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</si>
  <si>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</si>
  <si>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</si>
  <si>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</si>
  <si>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</si>
  <si>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</si>
  <si>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</si>
  <si>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</si>
  <si>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</si>
  <si>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</si>
  <si>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</si>
  <si>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</si>
  <si>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</si>
  <si>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</si>
  <si>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</si>
  <si>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</si>
  <si>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</si>
  <si>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</si>
  <si>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</si>
  <si>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</si>
  <si>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</si>
  <si>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</si>
  <si>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</si>
  <si>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</si>
  <si>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</si>
  <si>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</si>
  <si>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</si>
  <si>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</si>
  <si>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</si>
  <si>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</si>
  <si>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</si>
  <si>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</si>
  <si>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</si>
  <si>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</si>
  <si>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</si>
  <si>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</si>
  <si>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</si>
  <si>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</si>
  <si>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</si>
  <si>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</si>
  <si>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</si>
  <si>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</si>
  <si>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</si>
  <si>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</si>
  <si>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</si>
  <si>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</si>
  <si>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</si>
  <si>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</si>
  <si>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</si>
  <si>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</si>
  <si>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</si>
  <si>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</si>
  <si>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</si>
  <si>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</si>
  <si>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</si>
  <si>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</si>
  <si>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</si>
  <si>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</si>
  <si>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</si>
  <si>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</si>
  <si>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</si>
  <si>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</si>
  <si>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</si>
  <si>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</si>
  <si>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</si>
  <si>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</si>
  <si>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</si>
  <si>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</si>
  <si>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</si>
  <si>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</si>
  <si>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</si>
  <si>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</si>
  <si>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</si>
  <si>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</si>
  <si>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</si>
  <si>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</si>
  <si>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</si>
  <si>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</si>
  <si>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</si>
  <si>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</si>
  <si>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</si>
  <si>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</si>
  <si>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</si>
  <si>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</si>
  <si>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</si>
  <si>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</si>
  <si>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</si>
  <si>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</si>
  <si>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</si>
  <si>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</si>
  <si>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</si>
  <si>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</si>
  <si>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</si>
  <si>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</si>
  <si>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</si>
  <si>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</si>
  <si>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</si>
  <si>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</si>
  <si>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</si>
  <si>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</si>
  <si>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</si>
  <si>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</si>
  <si>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</si>
  <si>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</si>
  <si>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</si>
  <si>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</si>
  <si>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</si>
  <si>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</si>
  <si>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</si>
  <si>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</si>
  <si>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</si>
  <si>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</si>
  <si>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</si>
  <si>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</si>
  <si>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</si>
  <si>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</si>
  <si>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</si>
  <si>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</si>
  <si>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</si>
  <si>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</si>
  <si>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</si>
  <si>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</si>
  <si>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</si>
  <si>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</si>
  <si>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</si>
  <si>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</si>
  <si>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</si>
  <si>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</si>
  <si>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</si>
  <si>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</si>
  <si>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</si>
  <si>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</si>
  <si>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</si>
  <si>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</si>
  <si>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</si>
  <si>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</si>
  <si>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</si>
  <si>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</si>
  <si>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</si>
  <si>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</si>
  <si>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</si>
  <si>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</si>
  <si>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</si>
  <si>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</si>
  <si>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</si>
  <si>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</si>
  <si>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</si>
  <si>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</si>
  <si>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</si>
  <si>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</si>
  <si>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</si>
  <si>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</si>
  <si>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</si>
  <si>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</si>
  <si>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</si>
  <si>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</si>
  <si>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</si>
  <si>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</si>
  <si>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</si>
  <si>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</si>
  <si>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</si>
  <si>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</si>
  <si>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</si>
  <si>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</si>
  <si>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</si>
  <si>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</si>
  <si>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</si>
  <si>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</si>
  <si>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</si>
  <si>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</si>
  <si>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</si>
  <si>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</si>
  <si>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</si>
  <si>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</si>
  <si>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</si>
  <si>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</si>
  <si>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</si>
  <si>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</si>
  <si>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</si>
  <si>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</si>
  <si>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</si>
  <si>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</si>
  <si>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</si>
  <si>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</si>
  <si>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</si>
  <si>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</si>
  <si>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</si>
  <si>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</si>
  <si>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</si>
  <si>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</si>
  <si>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</si>
  <si>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</si>
  <si>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</si>
  <si>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</si>
  <si>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</si>
  <si>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</si>
  <si>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</si>
  <si>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</si>
  <si>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</si>
  <si>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</si>
  <si>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</si>
  <si>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</si>
  <si>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</si>
  <si>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</si>
  <si>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</si>
  <si>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</si>
  <si>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</si>
  <si>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</si>
  <si>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</si>
  <si>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</si>
  <si>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</si>
  <si>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</si>
  <si>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</si>
  <si>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</si>
  <si>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</si>
  <si>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</si>
  <si>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</si>
  <si>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</si>
  <si>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</si>
  <si>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</si>
  <si>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</si>
  <si>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</si>
  <si>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</si>
  <si>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</si>
  <si>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</si>
  <si>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</si>
  <si>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</si>
  <si>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</si>
  <si>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</si>
  <si>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</si>
  <si>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</si>
  <si>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</si>
  <si>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</si>
  <si>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</si>
  <si>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</si>
  <si>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</si>
  <si>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</si>
  <si>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</si>
  <si>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</si>
  <si>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</si>
  <si>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</si>
  <si>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</si>
  <si>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</si>
  <si>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</si>
  <si>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</si>
  <si>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</si>
  <si>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</si>
  <si>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</si>
  <si>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</si>
  <si>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</si>
  <si>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</si>
  <si>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</si>
  <si>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</si>
  <si>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</si>
  <si>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</si>
  <si>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</si>
  <si>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</si>
  <si>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</si>
  <si>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</si>
  <si>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</si>
  <si>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</si>
  <si>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</si>
  <si>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</si>
  <si>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</si>
  <si>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</si>
  <si>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</si>
  <si>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</si>
  <si>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</si>
  <si>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</si>
  <si>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</si>
  <si>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</si>
  <si>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</si>
  <si>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</si>
  <si>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</si>
  <si>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</si>
  <si>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</si>
  <si>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</si>
  <si>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</si>
  <si>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</si>
  <si>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</si>
  <si>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</si>
  <si>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</si>
  <si>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</si>
  <si>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</si>
  <si>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</si>
  <si>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</si>
  <si>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</si>
  <si>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</si>
  <si>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</si>
  <si>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</si>
  <si>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</si>
  <si>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</si>
  <si>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</si>
  <si>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</si>
  <si>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</si>
  <si>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</si>
  <si>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</si>
  <si>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</si>
  <si>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</si>
  <si>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</si>
  <si>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</si>
  <si>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</si>
  <si>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</si>
  <si>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</si>
  <si>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</si>
  <si>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</si>
  <si>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</si>
  <si>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</si>
  <si>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</si>
  <si>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</si>
  <si>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</si>
  <si>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</si>
  <si>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</si>
  <si>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</si>
  <si>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</si>
  <si>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</si>
  <si>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</si>
  <si>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</si>
  <si>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</si>
  <si>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</si>
  <si>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</si>
  <si>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</si>
  <si>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</si>
  <si>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</si>
  <si>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</si>
  <si>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</si>
  <si>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</si>
  <si>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</si>
  <si>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</si>
  <si>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</si>
  <si>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</si>
  <si>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</si>
  <si>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</si>
  <si>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</si>
  <si>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</si>
  <si>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</si>
  <si>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</si>
  <si>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</si>
  <si>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</si>
  <si>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</si>
  <si>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</si>
  <si>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</si>
  <si>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</si>
  <si>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</si>
  <si>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</si>
  <si>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</si>
  <si>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</si>
  <si>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</si>
  <si>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</si>
  <si>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</si>
  <si>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</si>
  <si>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</si>
  <si>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</si>
  <si>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</si>
  <si>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</si>
  <si>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</si>
  <si>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</si>
  <si>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</si>
  <si>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</si>
  <si>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</si>
  <si>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</si>
  <si>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</si>
  <si>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</si>
  <si>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</si>
  <si>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</si>
  <si>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</si>
  <si>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</si>
  <si>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</si>
  <si>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</si>
  <si>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</si>
  <si>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</si>
  <si>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</si>
  <si>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</si>
  <si>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</si>
  <si>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</si>
  <si>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</si>
  <si>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</si>
  <si>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</si>
  <si>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</si>
  <si>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</si>
  <si>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</si>
  <si>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</si>
  <si>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</si>
  <si>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Total orders</t>
  </si>
  <si>
    <t>Total quantity</t>
  </si>
  <si>
    <t>Average Rating</t>
  </si>
  <si>
    <t>Average Days to Deliver</t>
  </si>
  <si>
    <t>Row Labels</t>
  </si>
  <si>
    <t>Grand Total</t>
  </si>
  <si>
    <t>Column Labels</t>
  </si>
  <si>
    <t>Female</t>
  </si>
  <si>
    <t>Male</t>
  </si>
  <si>
    <t>Other</t>
  </si>
  <si>
    <t>Unknown</t>
  </si>
  <si>
    <t>for matrix</t>
  </si>
  <si>
    <t>6 TO 10</t>
  </si>
  <si>
    <t>MORE THAN 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</si>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</sst>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409]* #,##0.00_ ;_-[$$-409]* \-#,##0.00\ ;_-[$$-409]* &quot;-&quot;??_ ;_-@_ "/>
    <numFmt numFmtId="165" formatCode="0.0%"/>
  </numFmts>
  <fonts count="3">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165" fontId="0" fillId="0" borderId="1" xfId="1" applyNumberFormat="1" applyFont="1" applyBorder="1"/>
    <xf numFmtId="14" fontId="0" fillId="0" borderId="0" xfId="0" applyNumberFormat="1"/>
  </cellXfs>
  <cellStyles count="2">
    <cellStyle name="Normal" xfId="0" builtinId="0"/>
    <cellStyle name="Percent" xfId="1" builtinId="5"/>
  </cellStyles>
  <dxfs count="19">
    <dxf>
      <numFmt numFmtId="0" formatCode="General"/>
    </dxf>
    <dxf>
      <numFmt numFmtId="0" formatCode="General"/>
    </dxf>
    <dxf>
      <numFmt numFmtId="0" formatCode="General"/>
    </dxf>
    <dxf>
      <numFmt numFmtId="166" formatCode="d\-mmm\-yy"/>
    </dxf>
    <dxf>
      <numFmt numFmtId="166" formatCode="d\-mmm\-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164" formatCode="_-[$$-409]* #,##0.00_ ;_-[$$-409]* \-#,##0.00\ ;_-[$$-409]* &quot;-&quot;??_ ;_-@_ "/>
    </dxf>
  </dxfs>
  <tableStyles count="0" defaultTableStyle="TableStyleMedium2" defaultPivotStyle="PivotStyleLight16"/>
  <colors>
    <mruColors>
      <color rgb="FFB62C85"/>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[ecommerce-blank.xlsx]pivot!product summary</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during the recent weeks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pivot!$B$14</c:f>
              <c:strCache>
                <c:ptCount val="1"/>
                <c:pt idx="0">
                  <c:v>Sum of Quantity</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pivot!$A$15:$A$28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pivot!$B$15:$B$28</c:f>
              <c:numCache>
                <c:formatCode>General</c:formatCode>
                <c:ptCount val="13"/>
                <c:pt idx="0">
                  <c:v>6</c:v>
                </c:pt>
                <c:pt idx="1">
                  <c:v>8</c:v>
                </c:pt>
                <c:pt idx="2">
                  <c:v>15</c:v>
                </c:pt>
                <c:pt idx="3">
                  <c:v>4</c:v>
                </c:pt>
                <c:pt idx="4">
                  <c:v>21</c:v>
                </c:pt>
                <c:pt idx="5">
                  <c:v>18</c:v>
                </c:pt>
                <c:pt idx="6">
                  <c:v>18</c:v>
                </c:pt>
                <c:pt idx="7">
                  <c:v>21</c:v>
                </c:pt>
                <c:pt idx="8">
                  <c:v>85</c:v>
                </c:pt>
                <c:pt idx="9">
                  <c:v>10</c:v>
                </c:pt>
                <c:pt idx="10">
                  <c:v>14</c:v>
                </c:pt>
                <c:pt idx="11">
                  <c:v>13</c:v>
                </c:pt>
                <c:pt idx="12">
                  <c:v>28</c:v>
                </c:pt>
              </c:numCache>
            </c:numRef>
          </c:val>
          <c:smooth val="0"/>
          <c:extLst>
            <c:ext xmlns:c16="http://schemas.microsoft.com/office/drawing/2014/chart" uri="{C3380CC4-5D6E-409C-BE32-E72D297353CC}">
              <c16:uniqueId val="{00000000-42CA-4E87-8688-4304BABDC117}"/>
            </c:ext>
          </c:extLst>
        </c:ser>
        <c:dLbls>
          <c:showLegendKey val="0"/>
          <c:showVal val="0"/>
          <c:showCatName val="0"/>
          <c:showSerName val="0"/>
          <c:showPercent val="0"/>
          <c:showBubbleSize val="0"/>
        </c:dLbls>
        <c:marker val="1"/>
        <c:smooth val="0"/>
        <c:axId val="229718703"/>
        <c:axId val="229719119"/>
      </c:lineChart>
      <c:lineChart>
        <c:grouping val="standard"/>
        <c:varyColors val="0"/>
        <c:ser>
          <c:idx val="1"/>
          <c:order val="1"/>
          <c:tx>
            <c:strRef>
              <c:f>pivot!$C$14</c:f>
              <c:strCache>
                <c:ptCount val="1"/>
                <c:pt idx="0">
                  <c:v>Sum of Amount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pivot!$A$15:$A$28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pivot!$C$15:$C$28</c:f>
              <c:numCache>
                <c:formatCode>_-[$$-409]* #,##0.00_ ;_-[$$-409]* \-#,##0.00\ ;_-[$$-409]* "-"??_ ;_-@_ </c:formatCode>
                <c:ptCount val="13"/>
                <c:pt idx="0">
                  <c:v>284.39999999999998</c:v>
                </c:pt>
                <c:pt idx="1">
                  <c:v>435.50000000000006</c:v>
                </c:pt>
                <c:pt idx="2">
                  <c:v>726.5</c:v>
                </c:pt>
                <c:pt idx="3">
                  <c:v>230.2</c:v>
                </c:pt>
                <c:pt idx="4">
                  <c:v>497.6</c:v>
                </c:pt>
                <c:pt idx="5">
                  <c:v>725.3</c:v>
                </c:pt>
                <c:pt idx="6">
                  <c:v>1026.9000000000001</c:v>
                </c:pt>
                <c:pt idx="7">
                  <c:v>1185</c:v>
                </c:pt>
                <c:pt idx="8">
                  <c:v>9305.5</c:v>
                </c:pt>
                <c:pt idx="9">
                  <c:v>474</c:v>
                </c:pt>
                <c:pt idx="10">
                  <c:v>897.3</c:v>
                </c:pt>
                <c:pt idx="11">
                  <c:v>280</c:v>
                </c:pt>
                <c:pt idx="12">
                  <c:v>3791.2999999999997</c:v>
                </c:pt>
              </c:numCache>
            </c:numRef>
          </c:val>
          <c:smooth val="0"/>
          <c:extLst>
            <c:ext xmlns:c16="http://schemas.microsoft.com/office/drawing/2014/chart" uri="{C3380CC4-5D6E-409C-BE32-E72D297353CC}">
              <c16:uniqueId val="{00000001-42CA-4E87-8688-4304BABDC117}"/>
            </c:ext>
          </c:extLst>
        </c:ser>
        <c:dLbls>
          <c:showLegendKey val="0"/>
          <c:showVal val="0"/>
          <c:showCatName val="0"/>
          <c:showSerName val="0"/>
          <c:showPercent val="0"/>
          <c:showBubbleSize val="0"/>
        </c:dLbls>
        <c:marker val="1"/>
        <c:smooth val="0"/>
        <c:axId val="218509071"/>
        <c:axId val="229717871"/>
      </c:lineChart>
      <c:catAx>
        <c:axId val="229718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9719119"/>
        <c:crosses val="autoZero"/>
        <c:auto val="1"/>
        <c:lblAlgn val="ctr"/>
        <c:lblOffset val="100"/>
        <c:noMultiLvlLbl val="0"/>
      </c:catAx>
      <c:valAx>
        <c:axId val="229719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9718703"/>
        <c:crosses val="autoZero"/>
        <c:crossBetween val="between"/>
      </c:valAx>
      <c:valAx>
        <c:axId val="229717871"/>
        <c:scaling>
          <c:orientation val="minMax"/>
        </c:scaling>
        <c:delete val="0"/>
        <c:axPos val="r"/>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509071"/>
        <c:crosses val="max"/>
        <c:crossBetween val="between"/>
      </c:valAx>
      <c:catAx>
        <c:axId val="218509071"/>
        <c:scaling>
          <c:orientation val="minMax"/>
        </c:scaling>
        <c:delete val="1"/>
        <c:axPos val="b"/>
        <c:numFmt formatCode="General" sourceLinked="1"/>
        <c:majorTickMark val="none"/>
        <c:minorTickMark val="none"/>
        <c:tickLblPos val="nextTo"/>
        <c:crossAx val="229717871"/>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[ecommerce-blank.xlsx]pivot3!quantity ordered</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 Quantity sold</a:t>
            </a:r>
          </a:p>
          <a:p>
            <a:pPr>
              <a:defRPr/>
            </a:pP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s>
    <c:plotArea>
      <c:layout>
        <c:manualLayout>
          <c:layoutTarget val="inner"/>
          <c:xMode val="edge"/>
          <c:yMode val="edge"/>
          <c:x val="0.10304825440608112"/>
          <c:y val="0.31525264639933254"/>
          <c:w val="0.88528237095363083"/>
          <c:h val="0.50316710411198595"/>
        </c:manualLayout>
      </c:layout>
      <c:barChart>
        <c:barDir val="col"/>
        <c:grouping val="clustered"/>
        <c:varyColors val="0"/>
        <c:ser>
          <c:idx val="0"/>
          <c:order val="0"/>
          <c:tx>
            <c:strRef>
              <c:f>pivot3!$B$3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pivot3!$A$4:$A$11</c:f>
              <c:strCache>
                <c:ptCount val="7"/>
                <c:pt idx="0">
                  <c:v>1</c:v>
                </c:pt>
                <c:pt idx="1">
                  <c:v>2</c:v>
                </c:pt>
                <c:pt idx="2">
                  <c:v>3</c:v>
                </c:pt>
                <c:pt idx="3">
                  <c:v>4</c:v>
                </c:pt>
                <c:pt idx="4">
                  <c:v>5</c:v>
                </c:pt>
                <c:pt idx="5">
                  <c:v>6 TO 10</c:v>
                </c:pt>
                <c:pt idx="6">
                  <c:v>MORE THAN 10</c:v>
                </c:pt>
              </c:strCache>
            </c:strRef>
          </c:cat>
          <c:val>
            <c:numRef>
              <c:f>pivot3!$B$4:$B$11</c:f>
              <c:numCache>
                <c:formatCode>General</c:formatCode>
                <c:ptCount val="7"/>
                <c:pt idx="0">
                  <c:v>8</c:v>
                </c:pt>
                <c:pt idx="1">
                  <c:v>16</c:v>
                </c:pt>
                <c:pt idx="2">
                  <c:v>6</c:v>
                </c:pt>
                <c:pt idx="3">
                  <c:v>4</c:v>
                </c:pt>
                <c:pt idx="4">
                  <c:v>5</c:v>
                </c:pt>
                <c:pt idx="5">
                  <c:v>5</c:v>
                </c:pt>
                <c:pt idx="6">
                  <c:v>5</c:v>
                </c:pt>
              </c:numCache>
            </c:numRef>
          </c:val>
          <c:extLst>
            <c:ext xmlns:c16="http://schemas.microsoft.com/office/drawing/2014/chart" uri="{C3380CC4-5D6E-409C-BE32-E72D297353CC}">
              <c16:uniqueId val="{00000000-4E93-4932-90C4-30D2ED023856}"/>
            </c:ext>
          </c:extLst>
        </c:ser>
        <c:dLbls>
          <c:showLegendKey val="0"/>
          <c:showVal val="0"/>
          <c:showCatName val="0"/>
          <c:showSerName val="0"/>
          <c:showPercent val="0"/>
          <c:showBubbleSize val="0"/>
        </c:dLbls>
        <c:gapWidth val="315"/>
        <c:overlap val="-40"/>
        <c:axId val="924155023"/>
        <c:axId val="924161263"/>
      </c:barChart>
      <c:catAx>
        <c:axId val="9241550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4161263"/>
        <c:crosses val="autoZero"/>
        <c:auto val="1"/>
        <c:lblAlgn val="ctr"/>
        <c:lblOffset val="100"/>
        <c:noMultiLvlLbl val="0"/>
      </c:catAx>
      <c:valAx>
        <c:axId val="924161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4155023"/>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[ecommerce-blank.xlsx]pivot4!popular products</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POPULAR</a:t>
            </a:r>
          </a:p>
          <a:p>
            <a:pPr>
              <a:defRPr/>
            </a:pPr>
            <a:r>
              <a:rPr lang="en-IN"/>
              <a:t>PRODUCTS</a:t>
            </a:r>
          </a:p>
        </c:rich>
      </c:tx>
      <c:layout>
        <c:manualLayout>
          <c:xMode val="edge"/>
          <c:yMode val="edge"/>
          <c:x val="0.70045523520485586"/>
          <c:y val="8.288824036855532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36769416276839934"/>
          <c:y val="9.1572087971762153E-2"/>
          <c:w val="0.34861570428696415"/>
          <c:h val="0.75705417031204436"/>
        </c:manualLayout>
      </c:layout>
      <c:barChart>
        <c:barDir val="bar"/>
        <c:grouping val="stacked"/>
        <c:varyColors val="0"/>
        <c:ser>
          <c:idx val="0"/>
          <c:order val="0"/>
          <c:tx>
            <c:strRef>
              <c:f>pivot4!$B$3:$B$4</c:f>
              <c:strCache>
                <c:ptCount val="1"/>
                <c:pt idx="0">
                  <c:v>Female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pivot4!$A$5:$A$25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pivot4!$B$5:$B$25</c:f>
              <c:numCache>
                <c:formatCode>General</c:formatCode>
                <c:ptCount val="20"/>
                <c:pt idx="0">
                  <c:v>11</c:v>
                </c:pt>
                <c:pt idx="1">
                  <c:v>152</c:v>
                </c:pt>
                <c:pt idx="2">
                  <c:v>84</c:v>
                </c:pt>
                <c:pt idx="3">
                  <c:v>61</c:v>
                </c:pt>
                <c:pt idx="4">
                  <c:v>152</c:v>
                </c:pt>
                <c:pt idx="5">
                  <c:v>96</c:v>
                </c:pt>
                <c:pt idx="6">
                  <c:v>318</c:v>
                </c:pt>
                <c:pt idx="7">
                  <c:v>3</c:v>
                </c:pt>
                <c:pt idx="8">
                  <c:v>72</c:v>
                </c:pt>
                <c:pt idx="9">
                  <c:v>37</c:v>
                </c:pt>
                <c:pt idx="10">
                  <c:v>17</c:v>
                </c:pt>
                <c:pt idx="11">
                  <c:v>116</c:v>
                </c:pt>
                <c:pt idx="12">
                  <c:v>163</c:v>
                </c:pt>
                <c:pt idx="13">
                  <c:v>266</c:v>
                </c:pt>
                <c:pt idx="14">
                  <c:v>164</c:v>
                </c:pt>
                <c:pt idx="15">
                  <c:v>35</c:v>
                </c:pt>
                <c:pt idx="16">
                  <c:v>192</c:v>
                </c:pt>
                <c:pt idx="17">
                  <c:v>22</c:v>
                </c:pt>
                <c:pt idx="18">
                  <c:v>240</c:v>
                </c:pt>
                <c:pt idx="19">
                  <c:v>39</c:v>
                </c:pt>
              </c:numCache>
            </c:numRef>
          </c:val>
          <c:extLst>
            <c:ext xmlns:c16="http://schemas.microsoft.com/office/drawing/2014/chart" uri="{C3380CC4-5D6E-409C-BE32-E72D297353CC}">
              <c16:uniqueId val="{00000000-5D99-4542-9467-6702769DCD02}"/>
            </c:ext>
          </c:extLst>
        </c:ser>
        <c:ser>
          <c:idx val="1"/>
          <c:order val="1"/>
          <c:tx>
            <c:strRef>
              <c:f>pivot4!$C$3:$C$4</c:f>
              <c:strCache>
                <c:ptCount val="1"/>
                <c:pt idx="0">
                  <c:v>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pivot4!$A$5:$A$25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pivot4!$C$5:$C$25</c:f>
              <c:numCache>
                <c:formatCode>General</c:formatCode>
                <c:ptCount val="20"/>
                <c:pt idx="0">
                  <c:v>32</c:v>
                </c:pt>
                <c:pt idx="1">
                  <c:v>101</c:v>
                </c:pt>
                <c:pt idx="2">
                  <c:v>45</c:v>
                </c:pt>
                <c:pt idx="3">
                  <c:v>176</c:v>
                </c:pt>
                <c:pt idx="4">
                  <c:v>60</c:v>
                </c:pt>
                <c:pt idx="5">
                  <c:v>151</c:v>
                </c:pt>
                <c:pt idx="6">
                  <c:v>149</c:v>
                </c:pt>
                <c:pt idx="8">
                  <c:v>61</c:v>
                </c:pt>
                <c:pt idx="9">
                  <c:v>30</c:v>
                </c:pt>
                <c:pt idx="11">
                  <c:v>73</c:v>
                </c:pt>
                <c:pt idx="12">
                  <c:v>140</c:v>
                </c:pt>
                <c:pt idx="13">
                  <c:v>131</c:v>
                </c:pt>
                <c:pt idx="14">
                  <c:v>63</c:v>
                </c:pt>
                <c:pt idx="15">
                  <c:v>29</c:v>
                </c:pt>
                <c:pt idx="16">
                  <c:v>76</c:v>
                </c:pt>
                <c:pt idx="17">
                  <c:v>39</c:v>
                </c:pt>
                <c:pt idx="18">
                  <c:v>203</c:v>
                </c:pt>
                <c:pt idx="19">
                  <c:v>46</c:v>
                </c:pt>
              </c:numCache>
            </c:numRef>
          </c:val>
          <c:extLst>
            <c:ext xmlns:c16="http://schemas.microsoft.com/office/drawing/2014/chart" uri="{C3380CC4-5D6E-409C-BE32-E72D297353CC}">
              <c16:uniqueId val="{00000004-5D99-4542-9467-6702769DCD02}"/>
            </c:ext>
          </c:extLst>
        </c:ser>
        <c:ser>
          <c:idx val="2"/>
          <c:order val="2"/>
          <c:tx>
            <c:strRef>
              <c:f>pivot4!$D$3:$D$4</c:f>
              <c:strCache>
                <c:ptCount val="1"/>
                <c:pt idx="0">
                  <c:v>Other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pivot4!$A$5:$A$25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pivot4!$D$5:$D$25</c:f>
              <c:numCache>
                <c:formatCode>General</c:formatCode>
                <c:ptCount val="20"/>
                <c:pt idx="0">
                  <c:v>8</c:v>
                </c:pt>
                <c:pt idx="2">
                  <c:v>6</c:v>
                </c:pt>
                <c:pt idx="3">
                  <c:v>15</c:v>
                </c:pt>
                <c:pt idx="4">
                  <c:v>8</c:v>
                </c:pt>
                <c:pt idx="6">
                  <c:v>10</c:v>
                </c:pt>
                <c:pt idx="7">
                  <c:v>2</c:v>
                </c:pt>
                <c:pt idx="9">
                  <c:v>3</c:v>
                </c:pt>
                <c:pt idx="13">
                  <c:v>13</c:v>
                </c:pt>
                <c:pt idx="14">
                  <c:v>7</c:v>
                </c:pt>
                <c:pt idx="16">
                  <c:v>7</c:v>
                </c:pt>
                <c:pt idx="17">
                  <c:v>4</c:v>
                </c:pt>
                <c:pt idx="18">
                  <c:v>27</c:v>
                </c:pt>
                <c:pt idx="19">
                  <c:v>4</c:v>
                </c:pt>
              </c:numCache>
            </c:numRef>
          </c:val>
          <c:extLst>
            <c:ext xmlns:c16="http://schemas.microsoft.com/office/drawing/2014/chart" uri="{C3380CC4-5D6E-409C-BE32-E72D297353CC}">
              <c16:uniqueId val="{00000005-5D99-4542-9467-6702769DCD02}"/>
            </c:ext>
          </c:extLst>
        </c:ser>
        <c:ser>
          <c:idx val="3"/>
          <c:order val="3"/>
          <c:tx>
            <c:strRef>
              <c:f>pivot4!$E$3:$E$4</c:f>
              <c:strCache>
                <c:ptCount val="1"/>
                <c:pt idx="0">
                  <c:v>Unknown</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pivot4!$A$5:$A$25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pivot4!$E$5:$E$25</c:f>
              <c:numCache>
                <c:formatCode>General</c:formatCode>
                <c:ptCount val="20"/>
                <c:pt idx="0">
                  <c:v>6</c:v>
                </c:pt>
                <c:pt idx="1">
                  <c:v>1</c:v>
                </c:pt>
                <c:pt idx="2">
                  <c:v>6</c:v>
                </c:pt>
                <c:pt idx="3">
                  <c:v>1</c:v>
                </c:pt>
                <c:pt idx="4">
                  <c:v>3</c:v>
                </c:pt>
                <c:pt idx="6">
                  <c:v>69</c:v>
                </c:pt>
                <c:pt idx="8">
                  <c:v>6</c:v>
                </c:pt>
                <c:pt idx="10">
                  <c:v>12</c:v>
                </c:pt>
                <c:pt idx="11">
                  <c:v>3</c:v>
                </c:pt>
                <c:pt idx="12">
                  <c:v>12</c:v>
                </c:pt>
                <c:pt idx="13">
                  <c:v>84</c:v>
                </c:pt>
                <c:pt idx="14">
                  <c:v>8</c:v>
                </c:pt>
                <c:pt idx="16">
                  <c:v>4</c:v>
                </c:pt>
                <c:pt idx="18">
                  <c:v>32</c:v>
                </c:pt>
                <c:pt idx="19">
                  <c:v>14</c:v>
                </c:pt>
              </c:numCache>
            </c:numRef>
          </c:val>
          <c:extLst>
            <c:ext xmlns:c16="http://schemas.microsoft.com/office/drawing/2014/chart" uri="{C3380CC4-5D6E-409C-BE32-E72D297353CC}">
              <c16:uniqueId val="{00000006-5D99-4542-9467-6702769DCD02}"/>
            </c:ext>
          </c:extLst>
        </c:ser>
        <c:dLbls>
          <c:showLegendKey val="0"/>
          <c:showVal val="0"/>
          <c:showCatName val="0"/>
          <c:showSerName val="0"/>
          <c:showPercent val="0"/>
          <c:showBubbleSize val="0"/>
        </c:dLbls>
        <c:gapWidth val="150"/>
        <c:overlap val="100"/>
        <c:axId val="122198527"/>
        <c:axId val="122196447"/>
      </c:barChart>
      <c:catAx>
        <c:axId val="122198527"/>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96447"/>
        <c:crosses val="autoZero"/>
        <c:auto val="1"/>
        <c:lblAlgn val="ctr"/>
        <c:lblOffset val="100"/>
        <c:noMultiLvlLbl val="0"/>
      </c:catAx>
      <c:valAx>
        <c:axId val="122196447"/>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9852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[ecommerce-blank.xlsx]pivot4!quantity ordered</c:name>
    <c:fmtId val="15"/>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1"/>
          <c:showSerName val="0"/>
          <c:showPercent val="0"/>
          <c:showBubbleSize val="0"/>
          <c:extLst>
            <c:ext xmlns:c15="http://schemas.microsoft.com/office/drawing/2012/chart" uri="{CE6537A1-D6FC-4f65-9D91-7224C49458BB}"/>
          </c:extLst>
        </c:dLbl>
      </c:pivotFmt>
      <c:pivotFmt>
        <c:idx val="13"/>
      </c:pivotFmt>
      <c:pivotFmt>
        <c:idx val="14"/>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pivot4!$J$6</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49D7-48B2-B827-065141690A4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49D7-48B2-B827-065141690A40}"/>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49D7-48B2-B827-065141690A40}"/>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49D7-48B2-B827-065141690A40}"/>
              </c:ext>
            </c:extLst>
          </c:dPt>
          <c:dLbls>
            <c:delete val="1"/>
          </c:dLbls>
          <c:cat>
            <c:strRef>
              <c:f>pivot4!$I$7:$I$8</c:f>
              <c:strCache>
                <c:ptCount val="1"/>
                <c:pt idx="0">
                  <c:v>Unknown</c:v>
                </c:pt>
              </c:strCache>
            </c:strRef>
          </c:cat>
          <c:val>
            <c:numRef>
              <c:f>pivot4!$J$7:$J$8</c:f>
              <c:numCache>
                <c:formatCode>General</c:formatCode>
                <c:ptCount val="1"/>
                <c:pt idx="0">
                  <c:v>261</c:v>
                </c:pt>
              </c:numCache>
            </c:numRef>
          </c:val>
          <c:extLst>
            <c:ext xmlns:c16="http://schemas.microsoft.com/office/drawing/2014/chart" uri="{C3380CC4-5D6E-409C-BE32-E72D297353CC}">
              <c16:uniqueId val="{00000008-49D7-48B2-B827-065141690A40}"/>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[ecommerce-blank.xlsx]pivot5!daystodeliver</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Days to Deliver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4881852796569442"/>
          <c:y val="0.28029988694738095"/>
          <c:w val="0.54616095523270858"/>
          <c:h val="0.51075150240980582"/>
        </c:manualLayout>
      </c:layout>
      <c:barChart>
        <c:barDir val="col"/>
        <c:grouping val="clustered"/>
        <c:varyColors val="0"/>
        <c:ser>
          <c:idx val="0"/>
          <c:order val="0"/>
          <c:tx>
            <c:strRef>
              <c:f>pivot5!$B$3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pivot5!$A$4:$A$13</c:f>
              <c:strCache>
                <c:ptCount val="9"/>
                <c:pt idx="0">
                  <c:v>0</c:v>
                </c:pt>
                <c:pt idx="1">
                  <c:v>1</c:v>
                </c:pt>
                <c:pt idx="2">
                  <c:v>2</c:v>
                </c:pt>
                <c:pt idx="3">
                  <c:v>3</c:v>
                </c:pt>
                <c:pt idx="4">
                  <c:v>4</c:v>
                </c:pt>
                <c:pt idx="5">
                  <c:v>5</c:v>
                </c:pt>
                <c:pt idx="6">
                  <c:v>6</c:v>
                </c:pt>
                <c:pt idx="7">
                  <c:v>7</c:v>
                </c:pt>
                <c:pt idx="8">
                  <c:v>14</c:v>
                </c:pt>
              </c:strCache>
            </c:strRef>
          </c:cat>
          <c:val>
            <c:numRef>
              <c:f>pivot5!$B$4:$B$13</c:f>
              <c:numCache>
                <c:formatCode>General</c:formatCode>
                <c:ptCount val="9"/>
                <c:pt idx="0">
                  <c:v>5</c:v>
                </c:pt>
                <c:pt idx="1">
                  <c:v>18</c:v>
                </c:pt>
                <c:pt idx="2">
                  <c:v>11</c:v>
                </c:pt>
                <c:pt idx="3">
                  <c:v>5</c:v>
                </c:pt>
                <c:pt idx="4">
                  <c:v>4</c:v>
                </c:pt>
                <c:pt idx="5">
                  <c:v>3</c:v>
                </c:pt>
                <c:pt idx="6">
                  <c:v>1</c:v>
                </c:pt>
                <c:pt idx="7">
                  <c:v>1</c:v>
                </c:pt>
                <c:pt idx="8">
                  <c:v>1</c:v>
                </c:pt>
              </c:numCache>
            </c:numRef>
          </c:val>
          <c:extLst>
            <c:ext xmlns:c16="http://schemas.microsoft.com/office/drawing/2014/chart" uri="{C3380CC4-5D6E-409C-BE32-E72D297353CC}">
              <c16:uniqueId val="{00000000-6000-4C49-8B53-5E99F4BADFED}"/>
            </c:ext>
          </c:extLst>
        </c:ser>
        <c:dLbls>
          <c:showLegendKey val="0"/>
          <c:showVal val="0"/>
          <c:showCatName val="0"/>
          <c:showSerName val="0"/>
          <c:showPercent val="0"/>
          <c:showBubbleSize val="0"/>
        </c:dLbls>
        <c:gapWidth val="100"/>
        <c:overlap val="-24"/>
        <c:axId val="1313856575"/>
        <c:axId val="1313857407"/>
      </c:barChart>
      <c:catAx>
        <c:axId val="1313856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857407"/>
        <c:crosses val="autoZero"/>
        <c:auto val="1"/>
        <c:lblAlgn val="ctr"/>
        <c:lblOffset val="100"/>
        <c:noMultiLvlLbl val="0"/>
      </c:catAx>
      <c:valAx>
        <c:axId val="1313857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85657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[ecommerce-blank.xlsx]pivot5!ratings</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Ratings</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
        <c:idx val="21"/>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
        <c:idx val="22"/>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
        <c:idx val="23"/>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
        <c:idx val="24"/>
        <c:spPr>
          <a:noFill/>
          <a:ln w="9525" cap="flat" cmpd="sng" algn="ctr">
            <a:solidFill>
              <a:schemeClr val="accent6"/>
            </a:solidFill>
            <a:miter lim="800000"/>
          </a:ln>
          <a:effectLst>
            <a:glow rad="63500">
              <a:schemeClr val="accent6">
                <a:satMod val="175000"/>
                <a:alpha val="25000"/>
              </a:schemeClr>
            </a:glow>
          </a:effectLst>
        </c:spPr>
        <c:marker>
          <c:symbol val="none"/>
        </c:marker>
      </c:pivotFmt>
    </c:pivotFmts>
    <c:plotArea>
      <c:layout/>
      <c:barChart>
        <c:barDir val="col"/>
        <c:grouping val="clustered"/>
        <c:varyColors val="0"/>
        <c:ser>
          <c:idx val="0"/>
          <c:order val="0"/>
          <c:tx>
            <c:strRef>
              <c:f>pivot5!$B$25:$B$26</c:f>
              <c:strCache>
                <c:ptCount val="1"/>
                <c:pt idx="0">
                  <c:v>2</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pivot5!$A$27:$A$30</c:f>
              <c:strCache>
                <c:ptCount val="3"/>
                <c:pt idx="0">
                  <c:v>Jan</c:v>
                </c:pt>
                <c:pt idx="1">
                  <c:v>Feb</c:v>
                </c:pt>
                <c:pt idx="2">
                  <c:v>Mar</c:v>
                </c:pt>
              </c:strCache>
            </c:strRef>
          </c:cat>
          <c:val>
            <c:numRef>
              <c:f>pivot5!$B$27:$B$30</c:f>
              <c:numCache>
                <c:formatCode>General</c:formatCode>
                <c:ptCount val="3"/>
                <c:pt idx="2">
                  <c:v>1</c:v>
                </c:pt>
              </c:numCache>
            </c:numRef>
          </c:val>
          <c:extLst>
            <c:ext xmlns:c16="http://schemas.microsoft.com/office/drawing/2014/chart" uri="{C3380CC4-5D6E-409C-BE32-E72D297353CC}">
              <c16:uniqueId val="{00000000-3E3D-49A5-994A-EF7D1AE85CD9}"/>
            </c:ext>
          </c:extLst>
        </c:ser>
        <c:ser>
          <c:idx val="1"/>
          <c:order val="1"/>
          <c:tx>
            <c:strRef>
              <c:f>pivot5!$C$25:$C$26</c:f>
              <c:strCache>
                <c:ptCount val="1"/>
                <c:pt idx="0">
                  <c:v>3</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pivot5!$A$27:$A$30</c:f>
              <c:strCache>
                <c:ptCount val="3"/>
                <c:pt idx="0">
                  <c:v>Jan</c:v>
                </c:pt>
                <c:pt idx="1">
                  <c:v>Feb</c:v>
                </c:pt>
                <c:pt idx="2">
                  <c:v>Mar</c:v>
                </c:pt>
              </c:strCache>
            </c:strRef>
          </c:cat>
          <c:val>
            <c:numRef>
              <c:f>pivot5!$C$27:$C$30</c:f>
              <c:numCache>
                <c:formatCode>General</c:formatCode>
                <c:ptCount val="3"/>
                <c:pt idx="0">
                  <c:v>1</c:v>
                </c:pt>
                <c:pt idx="1">
                  <c:v>6</c:v>
                </c:pt>
                <c:pt idx="2">
                  <c:v>7</c:v>
                </c:pt>
              </c:numCache>
            </c:numRef>
          </c:val>
          <c:extLst>
            <c:ext xmlns:c16="http://schemas.microsoft.com/office/drawing/2014/chart" uri="{C3380CC4-5D6E-409C-BE32-E72D297353CC}">
              <c16:uniqueId val="{00000001-3E3D-49A5-994A-EF7D1AE85CD9}"/>
            </c:ext>
          </c:extLst>
        </c:ser>
        <c:ser>
          <c:idx val="2"/>
          <c:order val="2"/>
          <c:tx>
            <c:strRef>
              <c:f>pivot5!$D$25:$D$26</c:f>
              <c:strCache>
                <c:ptCount val="1"/>
                <c:pt idx="0">
                  <c:v>4</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pivot5!$A$27:$A$30</c:f>
              <c:strCache>
                <c:ptCount val="3"/>
                <c:pt idx="0">
                  <c:v>Jan</c:v>
                </c:pt>
                <c:pt idx="1">
                  <c:v>Feb</c:v>
                </c:pt>
                <c:pt idx="2">
                  <c:v>Mar</c:v>
                </c:pt>
              </c:strCache>
            </c:strRef>
          </c:cat>
          <c:val>
            <c:numRef>
              <c:f>pivot5!$D$27:$D$30</c:f>
              <c:numCache>
                <c:formatCode>General</c:formatCode>
                <c:ptCount val="3"/>
                <c:pt idx="0">
                  <c:v>8</c:v>
                </c:pt>
                <c:pt idx="1">
                  <c:v>8</c:v>
                </c:pt>
                <c:pt idx="2">
                  <c:v>4</c:v>
                </c:pt>
              </c:numCache>
            </c:numRef>
          </c:val>
          <c:extLst>
            <c:ext xmlns:c16="http://schemas.microsoft.com/office/drawing/2014/chart" uri="{C3380CC4-5D6E-409C-BE32-E72D297353CC}">
              <c16:uniqueId val="{00000002-3E3D-49A5-994A-EF7D1AE85CD9}"/>
            </c:ext>
          </c:extLst>
        </c:ser>
        <c:ser>
          <c:idx val="3"/>
          <c:order val="3"/>
          <c:tx>
            <c:strRef>
              <c:f>pivot5!$E$25:$E$26</c:f>
              <c:strCache>
                <c:ptCount val="1"/>
                <c:pt idx="0">
                  <c:v>5</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pivot5!$A$27:$A$30</c:f>
              <c:strCache>
                <c:ptCount val="3"/>
                <c:pt idx="0">
                  <c:v>Jan</c:v>
                </c:pt>
                <c:pt idx="1">
                  <c:v>Feb</c:v>
                </c:pt>
                <c:pt idx="2">
                  <c:v>Mar</c:v>
                </c:pt>
              </c:strCache>
            </c:strRef>
          </c:cat>
          <c:val>
            <c:numRef>
              <c:f>pivot5!$E$27:$E$30</c:f>
              <c:numCache>
                <c:formatCode>General</c:formatCode>
                <c:ptCount val="3"/>
                <c:pt idx="0">
                  <c:v>5</c:v>
                </c:pt>
                <c:pt idx="1">
                  <c:v>8</c:v>
                </c:pt>
                <c:pt idx="2">
                  <c:v>1</c:v>
                </c:pt>
              </c:numCache>
            </c:numRef>
          </c:val>
          <c:extLst>
            <c:ext xmlns:c16="http://schemas.microsoft.com/office/drawing/2014/chart" uri="{C3380CC4-5D6E-409C-BE32-E72D297353CC}">
              <c16:uniqueId val="{00000003-3E3D-49A5-994A-EF7D1AE85CD9}"/>
            </c:ext>
          </c:extLst>
        </c:ser>
        <c:dLbls>
          <c:showLegendKey val="0"/>
          <c:showVal val="0"/>
          <c:showCatName val="0"/>
          <c:showSerName val="0"/>
          <c:showPercent val="0"/>
          <c:showBubbleSize val="0"/>
        </c:dLbls>
        <c:gapWidth val="315"/>
        <c:overlap val="-40"/>
        <c:axId val="2134477839"/>
        <c:axId val="2134479503"/>
      </c:barChart>
      <c:catAx>
        <c:axId val="21344778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4479503"/>
        <c:crosses val="autoZero"/>
        <c:auto val="1"/>
        <c:lblAlgn val="ctr"/>
        <c:lblOffset val="100"/>
        <c:noMultiLvlLbl val="0"/>
      </c:catAx>
      <c:valAx>
        <c:axId val="21344795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44778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emf"/><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355600</xdr:colOff>
      <xdr:row>50</xdr:row>
      <xdr:rowOff>63500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0" y="0"/>
          <a:ext cx="16935450" cy="895350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xdr:from>
      <xdr:col>0</xdr:col>
      <xdr:colOff>0</xdr:colOff>
      <xdr:row>0</xdr:row>
      <xdr:rowOff>0</xdr:rowOff>
    </xdr:from>
    <xdr:to>
      <xdr:col>3</xdr:col>
      <xdr:colOff>0</xdr:colOff>
      <xdr:row>49</xdr:row>
      <xdr:rowOff>171450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203450" cy="888365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170630</xdr:colOff>
      <xdr:row>0</xdr:row>
      <xdr:rowOff>101429</xdr:rowOff>
    </xdr:from>
    <xdr:to>
      <xdr:col>1</xdr:col>
      <xdr:colOff>1659741</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70630" y="101429"/>
          <a:ext cx="1743111" cy="431971"/>
        </a:xfrm>
        <a:prstGeom prst="rect">
          <a:avLst/>
        </a:prstGeom>
      </xdr:spPr>
    </xdr:pic>
    <xdr:clientData/>
  </xdr:twoCellAnchor>
  <xdr:twoCellAnchor>
    <xdr:from>
      <xdr:col>0</xdr:col>
      <xdr:colOff>203985</xdr:colOff>
      <xdr:row>10</xdr:row>
      <xdr:rowOff>63500</xdr:rowOff>
    </xdr:from>
    <xdr:to>
      <xdr:col>1</xdr:col>
      <xdr:colOff>1174750</xdr:colOff>
      <xdr:row>12</xdr:row>
      <xdr:rowOff>44450</xdr:rowOff>
    </xdr:to>
    <xdr:sp macro="" textlink="pivot!H4">
      <xdr:nvSpPr>
        <xdr:cNvPr id="8" name="TextBox 7"/>
        <xdr:cNvSpPr txBox="1"/>
      </xdr:nvSpPr>
      <xdr:spPr>
        <a:xfrm>
          <a:off x="203985" y="1841500"/>
          <a:ext cx="1224765" cy="33655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ECAA7E-2AD3-440E-A482-0211D80362FA}" type="TxLink">
            <a:rPr lang="en-US" sz="1400" b="0" i="0" u="none" strike="noStrike" cap="none" spc="0">
              <a:ln w="0"/>
              <a:solidFill>
                <a:schemeClr val="accent6">
                  <a:lumMod val="75000"/>
                </a:schemeClr>
              </a:solidFill>
              <a:effectLst>
                <a:outerShdw blurRad="50800" dist="38100" dir="10800000" algn="r" rotWithShape="0">
                  <a:prstClr val="black">
                    <a:alpha val="40000"/>
                  </a:prstClr>
                </a:outerShdw>
              </a:effectLst>
              <a:latin typeface="Arial Black" panose="020B0A04020102020204" pitchFamily="34" charset="0"/>
              <a:ea typeface="+mn-ea"/>
              <a:cs typeface="+mn-cs"/>
            </a:rPr>
            <a:pPr marL="0" indent="0"/>
            <a:t>261</a:t>
          </a:fld>
          <a:endParaRPr lang="en-IN" sz="1400" b="0" i="0" u="none" strike="noStrike" cap="none" spc="0">
            <a:ln w="0"/>
            <a:solidFill>
              <a:schemeClr val="accent6">
                <a:lumMod val="75000"/>
              </a:schemeClr>
            </a:solidFill>
            <a:effectLst>
              <a:outerShdw blurRad="50800" dist="38100" dir="10800000" algn="r"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203985</xdr:colOff>
      <xdr:row>15</xdr:row>
      <xdr:rowOff>82550</xdr:rowOff>
    </xdr:from>
    <xdr:to>
      <xdr:col>1</xdr:col>
      <xdr:colOff>1524000</xdr:colOff>
      <xdr:row>17</xdr:row>
      <xdr:rowOff>95250</xdr:rowOff>
    </xdr:to>
    <xdr:sp macro="" textlink="pivot!I4">
      <xdr:nvSpPr>
        <xdr:cNvPr id="9" name="TextBox 8"/>
        <xdr:cNvSpPr txBox="1"/>
      </xdr:nvSpPr>
      <xdr:spPr>
        <a:xfrm>
          <a:off x="203985" y="2749550"/>
          <a:ext cx="1574015" cy="3683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0E790AE-E1AF-43BC-B31B-20AD2985E9D0}" type="TxLink">
            <a:rPr lang="en-US" sz="1400" b="0" i="0" u="none" strike="noStrike" cap="none" spc="0">
              <a:ln w="0"/>
              <a:solidFill>
                <a:schemeClr val="accent6">
                  <a:lumMod val="75000"/>
                </a:schemeClr>
              </a:solidFill>
              <a:effectLst>
                <a:outerShdw blurRad="50800" dist="38100" dir="10800000" algn="r" rotWithShape="0">
                  <a:prstClr val="black">
                    <a:alpha val="40000"/>
                  </a:prstClr>
                </a:outerShdw>
              </a:effectLst>
              <a:latin typeface="Arial Black" panose="020B0A04020102020204" pitchFamily="34" charset="0"/>
              <a:ea typeface="+mn-ea"/>
              <a:cs typeface="+mn-cs"/>
            </a:rPr>
            <a:pPr marL="0" indent="0"/>
            <a:t>$19,860</a:t>
          </a:fld>
          <a:endParaRPr lang="en-IN" sz="1400" b="0" i="0" u="none" strike="noStrike" cap="none" spc="0">
            <a:ln w="0"/>
            <a:solidFill>
              <a:schemeClr val="accent6">
                <a:lumMod val="75000"/>
              </a:schemeClr>
            </a:solidFill>
            <a:effectLst>
              <a:outerShdw blurRad="50800" dist="38100" dir="10800000" algn="r"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203985</xdr:colOff>
      <xdr:row>21</xdr:row>
      <xdr:rowOff>0</xdr:rowOff>
    </xdr:from>
    <xdr:to>
      <xdr:col>1</xdr:col>
      <xdr:colOff>520700</xdr:colOff>
      <xdr:row>23</xdr:row>
      <xdr:rowOff>0</xdr:rowOff>
    </xdr:to>
    <xdr:sp macro="" textlink="pivot!J4">
      <xdr:nvSpPr>
        <xdr:cNvPr id="10" name="TextBox 9"/>
        <xdr:cNvSpPr txBox="1"/>
      </xdr:nvSpPr>
      <xdr:spPr>
        <a:xfrm>
          <a:off x="203985" y="3733800"/>
          <a:ext cx="570715" cy="3556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DC2A04-62C7-470B-BA52-40779C6945E2}" type="TxLink">
            <a:rPr lang="en-US" sz="1400" b="0" i="0" u="none" strike="noStrike" cap="none" spc="0">
              <a:ln w="0"/>
              <a:solidFill>
                <a:schemeClr val="accent6">
                  <a:lumMod val="75000"/>
                </a:schemeClr>
              </a:solidFill>
              <a:effectLst>
                <a:outerShdw blurRad="50800" dist="38100" dir="10800000" algn="r" rotWithShape="0">
                  <a:prstClr val="black">
                    <a:alpha val="40000"/>
                  </a:prstClr>
                </a:outerShdw>
              </a:effectLst>
              <a:latin typeface="Arial Black" panose="020B0A04020102020204" pitchFamily="34" charset="0"/>
              <a:ea typeface="+mn-ea"/>
              <a:cs typeface="+mn-cs"/>
            </a:rPr>
            <a:pPr marL="0" indent="0"/>
            <a:t>4</a:t>
          </a:fld>
          <a:endParaRPr lang="en-IN" sz="1400" b="0" i="0" u="none" strike="noStrike" cap="none" spc="0">
            <a:ln w="0"/>
            <a:solidFill>
              <a:schemeClr val="accent6">
                <a:lumMod val="75000"/>
              </a:schemeClr>
            </a:solidFill>
            <a:effectLst>
              <a:outerShdw blurRad="50800" dist="38100" dir="10800000" algn="r"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216685</xdr:colOff>
      <xdr:row>25</xdr:row>
      <xdr:rowOff>127000</xdr:rowOff>
    </xdr:from>
    <xdr:to>
      <xdr:col>1</xdr:col>
      <xdr:colOff>431800</xdr:colOff>
      <xdr:row>27</xdr:row>
      <xdr:rowOff>152400</xdr:rowOff>
    </xdr:to>
    <xdr:sp macro="" textlink="pivot!K4">
      <xdr:nvSpPr>
        <xdr:cNvPr id="12" name="TextBox 11"/>
        <xdr:cNvSpPr txBox="1"/>
      </xdr:nvSpPr>
      <xdr:spPr>
        <a:xfrm>
          <a:off x="216685" y="4572000"/>
          <a:ext cx="469115" cy="3810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519775-BE37-40A7-A856-DA7E3B74FEB7}" type="TxLink">
            <a:rPr lang="en-US" sz="1400" b="0" i="0" u="none" strike="noStrike" cap="none" spc="0">
              <a:ln w="0"/>
              <a:solidFill>
                <a:schemeClr val="accent6">
                  <a:lumMod val="75000"/>
                </a:schemeClr>
              </a:solidFill>
              <a:effectLst>
                <a:outerShdw blurRad="50800" dist="38100" dir="10800000" algn="r" rotWithShape="0">
                  <a:prstClr val="black">
                    <a:alpha val="40000"/>
                  </a:prstClr>
                </a:outerShdw>
              </a:effectLst>
              <a:latin typeface="Arial Black" panose="020B0A04020102020204" pitchFamily="34" charset="0"/>
              <a:ea typeface="+mn-ea"/>
              <a:cs typeface="+mn-cs"/>
            </a:rPr>
            <a:pPr marL="0" indent="0"/>
            <a:t>2</a:t>
          </a:fld>
          <a:endParaRPr lang="en-IN" sz="1400" b="0" i="0" u="none" strike="noStrike" cap="none" spc="0">
            <a:ln w="0"/>
            <a:solidFill>
              <a:schemeClr val="accent6">
                <a:lumMod val="75000"/>
              </a:schemeClr>
            </a:solidFill>
            <a:effectLst>
              <a:outerShdw blurRad="50800" dist="38100" dir="10800000" algn="r"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203985</xdr:colOff>
      <xdr:row>3</xdr:row>
      <xdr:rowOff>0</xdr:rowOff>
    </xdr:from>
    <xdr:to>
      <xdr:col>1</xdr:col>
      <xdr:colOff>1012825</xdr:colOff>
      <xdr:row>4</xdr:row>
      <xdr:rowOff>146050</xdr:rowOff>
    </xdr:to>
    <xdr:sp macro="" textlink="">
      <xdr:nvSpPr>
        <xdr:cNvPr id="13" name="TextBox 12"/>
        <xdr:cNvSpPr txBox="1"/>
      </xdr:nvSpPr>
      <xdr:spPr>
        <a:xfrm>
          <a:off x="203985" y="533400"/>
          <a:ext cx="1062840" cy="3238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US" sz="1400" b="0" i="0" u="none" strike="noStrike" kern="0" cap="none" spc="0" normalizeH="0" baseline="0" noProof="0">
              <a:ln>
                <a:noFill/>
              </a:ln>
              <a:solidFill>
                <a:prstClr val="white"/>
              </a:solidFill>
              <a:effectLst/>
              <a:uLnTx/>
              <a:uFillTx/>
              <a:latin typeface="Arial Black" panose="020B0A04020102020204" pitchFamily="34" charset="0"/>
              <a:ea typeface="+mn-ea"/>
              <a:cs typeface="+mn-cs"/>
            </a:rPr>
            <a:t>🛒</a:t>
          </a:r>
          <a:r>
            <a:rPr lang="en-IN" sz="1400">
              <a:solidFill>
                <a:schemeClr val="accent6">
                  <a:lumMod val="75000"/>
                </a:schemeClr>
              </a:solidFill>
              <a:latin typeface="Arial Black" panose="020B0A04020102020204" pitchFamily="34" charset="0"/>
            </a:rPr>
            <a:t>Orders</a:t>
          </a:r>
          <a:endParaRPr lang="en-IN" sz="1400">
            <a:solidFill>
              <a:schemeClr val="bg1"/>
            </a:solidFill>
            <a:latin typeface="Arial Black" panose="020B0A04020102020204" pitchFamily="34" charset="0"/>
          </a:endParaRPr>
        </a:p>
      </xdr:txBody>
    </xdr:sp>
    <xdr:clientData/>
  </xdr:twoCellAnchor>
  <xdr:twoCellAnchor>
    <xdr:from>
      <xdr:col>0</xdr:col>
      <xdr:colOff>203985</xdr:colOff>
      <xdr:row>7</xdr:row>
      <xdr:rowOff>120650</xdr:rowOff>
    </xdr:from>
    <xdr:to>
      <xdr:col>1</xdr:col>
      <xdr:colOff>1228725</xdr:colOff>
      <xdr:row>9</xdr:row>
      <xdr:rowOff>107950</xdr:rowOff>
    </xdr:to>
    <xdr:sp macro="" textlink="">
      <xdr:nvSpPr>
        <xdr:cNvPr id="14" name="TextBox 13"/>
        <xdr:cNvSpPr txBox="1"/>
      </xdr:nvSpPr>
      <xdr:spPr>
        <a:xfrm>
          <a:off x="203985" y="1365250"/>
          <a:ext cx="1278740" cy="3429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92D050"/>
              </a:solidFill>
              <a:effectLst/>
              <a:uLnTx/>
              <a:uFillTx/>
              <a:latin typeface="+mn-lt"/>
              <a:ea typeface="+mn-ea"/>
              <a:cs typeface="+mn-cs"/>
            </a:rPr>
            <a:t>👗</a:t>
          </a:r>
          <a:r>
            <a:rPr kumimoji="0" lang="en-IN" sz="1100" b="0" i="0" u="none" strike="noStrike" kern="0" cap="none" spc="0" normalizeH="0" baseline="0" noProof="0">
              <a:ln>
                <a:noFill/>
              </a:ln>
              <a:solidFill>
                <a:srgbClr val="92D050"/>
              </a:solidFill>
              <a:effectLst/>
              <a:uLnTx/>
              <a:uFillTx/>
              <a:latin typeface="+mn-lt"/>
              <a:ea typeface="+mn-ea"/>
              <a:cs typeface="+mn-cs"/>
            </a:rPr>
            <a:t> </a:t>
          </a:r>
          <a:r>
            <a:rPr lang="en-IN" sz="1400">
              <a:solidFill>
                <a:schemeClr val="accent6">
                  <a:lumMod val="75000"/>
                </a:schemeClr>
              </a:solidFill>
              <a:latin typeface="Arial Black" panose="020B0A04020102020204" pitchFamily="34" charset="0"/>
            </a:rPr>
            <a:t>Quantity </a:t>
          </a:r>
          <a:endParaRPr lang="en-IN" sz="1100">
            <a:solidFill>
              <a:srgbClr val="92D050"/>
            </a:solidFill>
          </a:endParaRPr>
        </a:p>
      </xdr:txBody>
    </xdr:sp>
    <xdr:clientData/>
  </xdr:twoCellAnchor>
  <xdr:twoCellAnchor>
    <xdr:from>
      <xdr:col>0</xdr:col>
      <xdr:colOff>203985</xdr:colOff>
      <xdr:row>12</xdr:row>
      <xdr:rowOff>158750</xdr:rowOff>
    </xdr:from>
    <xdr:to>
      <xdr:col>1</xdr:col>
      <xdr:colOff>1149350</xdr:colOff>
      <xdr:row>14</xdr:row>
      <xdr:rowOff>146050</xdr:rowOff>
    </xdr:to>
    <xdr:sp macro="" textlink="">
      <xdr:nvSpPr>
        <xdr:cNvPr id="20" name="TextBox 19"/>
        <xdr:cNvSpPr txBox="1"/>
      </xdr:nvSpPr>
      <xdr:spPr>
        <a:xfrm>
          <a:off x="203985" y="2292350"/>
          <a:ext cx="1199365" cy="3429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FC000"/>
              </a:solidFill>
            </a:rPr>
            <a:t>💲</a:t>
          </a:r>
          <a:r>
            <a:rPr lang="en-US" sz="1400">
              <a:solidFill>
                <a:schemeClr val="accent6">
                  <a:lumMod val="75000"/>
                </a:schemeClr>
              </a:solidFill>
              <a:latin typeface="Arial Black" panose="020B0A04020102020204" pitchFamily="34" charset="0"/>
            </a:rPr>
            <a:t>Amount</a:t>
          </a:r>
          <a:endParaRPr lang="en-IN" sz="1400">
            <a:solidFill>
              <a:schemeClr val="accent6">
                <a:lumMod val="75000"/>
              </a:schemeClr>
            </a:solidFill>
            <a:latin typeface="Arial Black" panose="020B0A04020102020204" pitchFamily="34" charset="0"/>
          </a:endParaRPr>
        </a:p>
      </xdr:txBody>
    </xdr:sp>
    <xdr:clientData/>
  </xdr:twoCellAnchor>
  <xdr:twoCellAnchor>
    <xdr:from>
      <xdr:col>0</xdr:col>
      <xdr:colOff>203985</xdr:colOff>
      <xdr:row>18</xdr:row>
      <xdr:rowOff>50800</xdr:rowOff>
    </xdr:from>
    <xdr:to>
      <xdr:col>1</xdr:col>
      <xdr:colOff>1620035</xdr:colOff>
      <xdr:row>20</xdr:row>
      <xdr:rowOff>57150</xdr:rowOff>
    </xdr:to>
    <xdr:sp macro="" textlink="">
      <xdr:nvSpPr>
        <xdr:cNvPr id="21" name="TextBox 20"/>
        <xdr:cNvSpPr txBox="1"/>
      </xdr:nvSpPr>
      <xdr:spPr>
        <a:xfrm>
          <a:off x="203985" y="3251200"/>
          <a:ext cx="1670050" cy="36195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C000"/>
              </a:solidFill>
              <a:effectLst/>
              <a:uLnTx/>
              <a:uFillTx/>
              <a:latin typeface="Arial Black" panose="020B0A04020102020204" pitchFamily="34" charset="0"/>
              <a:ea typeface="+mn-ea"/>
              <a:cs typeface="+mn-cs"/>
            </a:rPr>
            <a:t>🌟</a:t>
          </a:r>
          <a:r>
            <a:rPr kumimoji="0" lang="en-IN" sz="1200" b="0" i="0" u="none" strike="noStrike" kern="0" cap="none" spc="0" normalizeH="0" baseline="0" noProof="0">
              <a:ln>
                <a:noFill/>
              </a:ln>
              <a:solidFill>
                <a:srgbClr val="4887E6">
                  <a:lumMod val="75000"/>
                </a:srgbClr>
              </a:solidFill>
              <a:effectLst/>
              <a:uLnTx/>
              <a:uFillTx/>
              <a:latin typeface="Arial Black" panose="020B0A04020102020204" pitchFamily="34" charset="0"/>
              <a:ea typeface="+mn-ea"/>
              <a:cs typeface="+mn-cs"/>
            </a:rPr>
            <a:t>Average Rating </a:t>
          </a:r>
          <a:endParaRPr kumimoji="0" lang="en-IN" sz="1600" b="0" i="0" u="none" strike="noStrike" kern="0" cap="none" spc="0" normalizeH="0" baseline="0" noProof="0">
            <a:ln>
              <a:noFill/>
            </a:ln>
            <a:solidFill>
              <a:srgbClr val="FFC000"/>
            </a:solidFill>
            <a:effectLst/>
            <a:uLnTx/>
            <a:uFillTx/>
            <a:latin typeface="+mn-lt"/>
            <a:ea typeface="+mn-ea"/>
            <a:cs typeface="+mn-cs"/>
          </a:endParaRPr>
        </a:p>
        <a:p>
          <a:endParaRPr lang="en-IN" sz="1100"/>
        </a:p>
      </xdr:txBody>
    </xdr:sp>
    <xdr:clientData/>
  </xdr:twoCellAnchor>
  <xdr:twoCellAnchor>
    <xdr:from>
      <xdr:col>0</xdr:col>
      <xdr:colOff>203985</xdr:colOff>
      <xdr:row>23</xdr:row>
      <xdr:rowOff>101600</xdr:rowOff>
    </xdr:from>
    <xdr:to>
      <xdr:col>2</xdr:col>
      <xdr:colOff>146835</xdr:colOff>
      <xdr:row>25</xdr:row>
      <xdr:rowOff>76200</xdr:rowOff>
    </xdr:to>
    <xdr:sp macro="" textlink="">
      <xdr:nvSpPr>
        <xdr:cNvPr id="22" name="TextBox 21"/>
        <xdr:cNvSpPr txBox="1"/>
      </xdr:nvSpPr>
      <xdr:spPr>
        <a:xfrm>
          <a:off x="203985" y="4191000"/>
          <a:ext cx="1892300" cy="3302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B62C85"/>
              </a:solidFill>
            </a:rPr>
            <a:t>📅 </a:t>
          </a:r>
          <a:r>
            <a:rPr lang="en-US" sz="1400">
              <a:solidFill>
                <a:schemeClr val="accent6">
                  <a:lumMod val="75000"/>
                </a:schemeClr>
              </a:solidFill>
              <a:latin typeface="Arial Black" panose="020B0A04020102020204" pitchFamily="34" charset="0"/>
            </a:rPr>
            <a:t>Days</a:t>
          </a:r>
          <a:r>
            <a:rPr lang="en-US" sz="1400" baseline="0">
              <a:solidFill>
                <a:schemeClr val="accent6">
                  <a:lumMod val="75000"/>
                </a:schemeClr>
              </a:solidFill>
              <a:latin typeface="Arial Black" panose="020B0A04020102020204" pitchFamily="34" charset="0"/>
            </a:rPr>
            <a:t> to deliver</a:t>
          </a:r>
          <a:endParaRPr lang="en-IN" sz="1400">
            <a:solidFill>
              <a:schemeClr val="accent6">
                <a:lumMod val="75000"/>
              </a:schemeClr>
            </a:solidFill>
            <a:latin typeface="Arial Black" panose="020B0A04020102020204" pitchFamily="34" charset="0"/>
          </a:endParaRPr>
        </a:p>
      </xdr:txBody>
    </xdr:sp>
    <xdr:clientData/>
  </xdr:twoCellAnchor>
  <xdr:twoCellAnchor>
    <xdr:from>
      <xdr:col>3</xdr:col>
      <xdr:colOff>82550</xdr:colOff>
      <xdr:row>0</xdr:row>
      <xdr:rowOff>120650</xdr:rowOff>
    </xdr:from>
    <xdr:to>
      <xdr:col>8</xdr:col>
      <xdr:colOff>374650</xdr:colOff>
      <xdr:row>11</xdr:row>
      <xdr:rowOff>88900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444500</xdr:colOff>
      <xdr:row>0</xdr:row>
      <xdr:rowOff>133350</xdr:rowOff>
    </xdr:from>
    <xdr:to>
      <xdr:col>12</xdr:col>
      <xdr:colOff>209550</xdr:colOff>
      <xdr:row>11</xdr:row>
      <xdr:rowOff>95250</xdr:rowOff>
    </xdr:to>
    <xdr:sp macro="" textlink="">
      <xdr:nvSpPr>
        <xdr:cNvPr id="29" name="Rectangle 28"/>
        <xdr:cNvSpPr/>
      </xdr:nvSpPr>
      <xdr:spPr>
        <a:xfrm>
          <a:off x="5543550" y="133350"/>
          <a:ext cx="2406650" cy="19177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431801</xdr:colOff>
      <xdr:row>0</xdr:row>
      <xdr:rowOff>133350</xdr:rowOff>
    </xdr:from>
    <xdr:to>
      <xdr:col>12</xdr:col>
      <xdr:colOff>209551</xdr:colOff>
      <xdr:row>11</xdr:row>
      <xdr:rowOff>95249</xdr:rowOff>
    </xdr:to>
    <xdr:pic>
      <xdr:nvPicPr>
        <xdr:cNvPr id="31" name="Picture 3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30851" y="133350"/>
          <a:ext cx="2419350" cy="1917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463550</xdr:colOff>
      <xdr:row>0</xdr:row>
      <xdr:rowOff>127000</xdr:rowOff>
    </xdr:from>
    <xdr:to>
      <xdr:col>17</xdr:col>
      <xdr:colOff>400050</xdr:colOff>
      <xdr:row>11</xdr:row>
      <xdr:rowOff>114300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xdr:colOff>
      <xdr:row>12</xdr:row>
      <xdr:rowOff>44450</xdr:rowOff>
    </xdr:from>
    <xdr:to>
      <xdr:col>10</xdr:col>
      <xdr:colOff>6350</xdr:colOff>
      <xdr:row>27</xdr:row>
      <xdr:rowOff>101600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546101</xdr:colOff>
      <xdr:row>20</xdr:row>
      <xdr:rowOff>6350</xdr:rowOff>
    </xdr:from>
    <xdr:to>
      <xdr:col>9</xdr:col>
      <xdr:colOff>622300</xdr:colOff>
      <xdr:row>27</xdr:row>
      <xdr:rowOff>31750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63500</xdr:colOff>
      <xdr:row>12</xdr:row>
      <xdr:rowOff>114300</xdr:rowOff>
    </xdr:from>
    <xdr:to>
      <xdr:col>14</xdr:col>
      <xdr:colOff>127000</xdr:colOff>
      <xdr:row>26</xdr:row>
      <xdr:rowOff>146050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177800</xdr:colOff>
      <xdr:row>12</xdr:row>
      <xdr:rowOff>120650</xdr:rowOff>
    </xdr:from>
    <xdr:to>
      <xdr:col>18</xdr:col>
      <xdr:colOff>146050</xdr:colOff>
      <xdr:row>26</xdr:row>
      <xdr:rowOff>38100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215900</xdr:colOff>
      <xdr:row>28</xdr:row>
      <xdr:rowOff>69851</xdr:rowOff>
    </xdr:from>
    <xdr:to>
      <xdr:col>2</xdr:col>
      <xdr:colOff>95250</xdr:colOff>
      <xdr:row>37</xdr:row>
      <xdr:rowOff>165100</xdr:rowOff>
    </xdr:to>
    <mc:AlternateContent xmlns:mc="http://schemas.openxmlformats.org/markup-compatibility/2006" xmlns:a14="http://schemas.microsoft.com/office/drawing/2010/main">
      <mc:Choice Requires="a14">
        <xdr:graphicFrame macro="">
          <xdr:nvGraphicFramePr>
            <xdr:cNvPr id="33" name="Order Mode"/>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15900" y="5048251"/>
              <a:ext cx="1828800" cy="1695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215900</xdr:colOff>
      <xdr:row>38</xdr:row>
      <xdr:rowOff>120651</xdr:rowOff>
    </xdr:from>
    <xdr:to>
      <xdr:col>2</xdr:col>
      <xdr:colOff>95250</xdr:colOff>
      <xdr:row>47</xdr:row>
      <xdr:rowOff>69851</xdr:rowOff>
    </xdr:to>
    <mc:AlternateContent xmlns:mc="http://schemas.openxmlformats.org/markup-compatibility/2006" xmlns:a14="http://schemas.microsoft.com/office/drawing/2010/main">
      <mc:Choice Requires="a14">
        <xdr:graphicFrame macro="">
          <xdr:nvGraphicFramePr>
            <xdr:cNvPr id="34" name="Gender Value"/>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15900" y="6877051"/>
              <a:ext cx="1828800" cy="154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203985</xdr:colOff>
      <xdr:row>5</xdr:row>
      <xdr:rowOff>57150</xdr:rowOff>
    </xdr:from>
    <xdr:to>
      <xdr:col>1</xdr:col>
      <xdr:colOff>1188235</xdr:colOff>
      <xdr:row>7</xdr:row>
      <xdr:rowOff>6350</xdr:rowOff>
    </xdr:to>
    <xdr:sp macro="" textlink="">
      <xdr:nvSpPr>
        <xdr:cNvPr id="5" name="TextBox 4"/>
        <xdr:cNvSpPr txBox="1"/>
      </xdr:nvSpPr>
      <xdr:spPr>
        <a:xfrm>
          <a:off x="203985" y="946150"/>
          <a:ext cx="1238250" cy="3048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6">
                  <a:lumMod val="75000"/>
                </a:schemeClr>
              </a:solidFill>
              <a:latin typeface="Arial Black" panose="020B0A04020102020204" pitchFamily="34" charset="0"/>
            </a:rPr>
            <a:t>262</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55.77625787037" createdVersion="6" refreshedVersion="6" minRefreshableVersion="3" recordCount="2400">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5"/>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ductsumm"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h="1" x="3"/>
        <item h="1" x="4"/>
        <item h="1" x="2"/>
        <item h="1" x="1"/>
        <item t="default"/>
      </items>
    </pivotField>
    <pivotField dataField="1" showAll="0"/>
    <pivotField showAll="0"/>
    <pivotField showAll="0"/>
    <pivotField dataField="1" showAll="0"/>
    <pivotField showAll="0"/>
    <pivotField showAll="0">
      <items count="5">
        <item h="1" x="2"/>
        <item h="1" x="1"/>
        <item h="1"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Count of TX ID" fld="0" subtotal="count" baseField="0" baseItem="1"/>
    <dataField name="Sum of Quantity" fld="2" baseField="0" baseItem="1"/>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roduct summa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4:C28"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h="1" x="1"/>
        <item h="1"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1"/>
    <dataField name="Sum of Amount" fld="4" baseField="0" baseItem="0"/>
  </dataFields>
  <formats count="3">
    <format dxfId="18">
      <pivotArea collapsedLevelsAreSubtotals="1" fieldPosition="0">
        <references count="2">
          <reference field="4294967294" count="1" selected="0">
            <x v="1"/>
          </reference>
          <reference field="13" count="1">
            <x v="0"/>
          </reference>
        </references>
      </pivotArea>
    </format>
    <format dxfId="17">
      <pivotArea collapsedLevelsAreSubtotals="1" fieldPosition="0">
        <references count="2">
          <reference field="4294967294" count="1" selected="0">
            <x v="1"/>
          </reference>
          <reference field="13" count="1">
            <x v="1"/>
          </reference>
        </references>
      </pivotArea>
    </format>
    <format dxfId="16">
      <pivotArea dataOnly="0" outline="0" fieldPosition="0">
        <references count="1">
          <reference field="4294967294" count="1">
            <x v="1"/>
          </reference>
        </references>
      </pivotArea>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order mod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quantity ordere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1"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showAll="0">
      <items count="5">
        <item h="1" x="2"/>
        <item h="1" x="1"/>
        <item h="1" x="3"/>
        <item x="0"/>
        <item t="default"/>
      </items>
    </pivotField>
    <pivotField axis="axisRow" showAll="0" defaultSubtotal="0">
      <items count="7">
        <item x="0"/>
        <item x="1"/>
        <item x="2"/>
        <item x="4"/>
        <item x="3"/>
        <item n="6 TO 10" x="5"/>
        <item n="MORE THAN 10" x="6"/>
      </items>
    </pivotField>
    <pivotField showAll="0" defaultSubtotal="0">
      <items count="14">
        <item x="0"/>
        <item x="1"/>
        <item x="2"/>
        <item x="3"/>
        <item x="4"/>
        <item x="5"/>
        <item x="6"/>
        <item x="7"/>
        <item x="8"/>
        <item x="9"/>
        <item x="10"/>
        <item x="11"/>
        <item x="12"/>
        <item x="13"/>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8:C53" firstHeaderRow="0" firstDataRow="1" firstDataCol="1"/>
  <pivotFields count="17">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h="1" x="3"/>
        <item h="1" x="4"/>
        <item h="1" x="2"/>
        <item h="1" x="1"/>
        <item t="default"/>
      </items>
    </pivotField>
    <pivotField showAll="0"/>
    <pivotField axis="axisRow" showAll="0">
      <items count="2">
        <item x="0"/>
        <item t="default"/>
      </items>
    </pivotField>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items count="5">
        <item h="1" x="2"/>
        <item h="1" x="1"/>
        <item h="1" x="3"/>
        <item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2">
    <field x="10"/>
    <field x="11"/>
  </rowFields>
  <rowItems count="15">
    <i>
      <x/>
    </i>
    <i r="1">
      <x/>
    </i>
    <i r="1">
      <x v="1"/>
    </i>
    <i r="1">
      <x v="6"/>
    </i>
    <i r="1">
      <x v="18"/>
    </i>
    <i r="1">
      <x v="32"/>
    </i>
    <i r="1">
      <x v="33"/>
    </i>
    <i r="1">
      <x v="35"/>
    </i>
    <i r="1">
      <x v="36"/>
    </i>
    <i r="1">
      <x v="37"/>
    </i>
    <i r="1">
      <x v="41"/>
    </i>
    <i r="1">
      <x v="42"/>
    </i>
    <i r="1">
      <x v="44"/>
    </i>
    <i r="1">
      <x v="56"/>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quantity ordere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I6:J8"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h="1" x="3"/>
        <item h="1" x="4"/>
        <item h="1" x="2"/>
        <item h="1" x="1"/>
        <item t="default"/>
      </items>
    </pivotField>
    <pivotField showAll="0"/>
    <pivotField showAll="0"/>
    <pivotField showAll="0"/>
    <pivotField showAll="0"/>
    <pivotField showAll="0"/>
    <pivotField axis="axisRow" showAll="0">
      <items count="5">
        <item h="1" x="2"/>
        <item h="1" x="1"/>
        <item h="1" x="3"/>
        <item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4"/>
  </rowFields>
  <rowItems count="2">
    <i>
      <x v="3"/>
    </i>
    <i t="grand">
      <x/>
    </i>
  </rowItems>
  <colItems count="1">
    <i/>
  </colItems>
  <dataFields count="1">
    <dataField name="Sum of Quantity" fld="2" baseField="0" baseItem="0"/>
  </dataFields>
  <chartFormats count="3">
    <chartFormat chart="13" format="0"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opular product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F25" firstHeaderRow="1" firstDataRow="2" firstDataCol="1"/>
  <pivotFields count="17">
    <pivotField showAll="0"/>
    <pivotField axis="axisRow"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h="1" x="3"/>
        <item h="1" x="4"/>
        <item h="1" x="2"/>
        <item h="1"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14"/>
  </colFields>
  <colItems count="5">
    <i>
      <x/>
    </i>
    <i>
      <x v="1"/>
    </i>
    <i>
      <x v="2"/>
    </i>
    <i>
      <x v="3"/>
    </i>
    <i t="grand">
      <x/>
    </i>
  </colItems>
  <dataFields count="1">
    <dataField name="Sum of Quantity" fld="2" baseField="0" baseItem="0"/>
  </dataFields>
  <chartFormats count="4">
    <chartFormat chart="10" format="13" series="1">
      <pivotArea type="data" outline="0" fieldPosition="0">
        <references count="2">
          <reference field="4294967294" count="1" selected="0">
            <x v="0"/>
          </reference>
          <reference field="14" count="1" selected="0">
            <x v="0"/>
          </reference>
        </references>
      </pivotArea>
    </chartFormat>
    <chartFormat chart="10" format="14" series="1">
      <pivotArea type="data" outline="0" fieldPosition="0">
        <references count="2">
          <reference field="4294967294" count="1" selected="0">
            <x v="0"/>
          </reference>
          <reference field="14" count="1" selected="0">
            <x v="1"/>
          </reference>
        </references>
      </pivotArea>
    </chartFormat>
    <chartFormat chart="10" format="15" series="1">
      <pivotArea type="data" outline="0" fieldPosition="0">
        <references count="2">
          <reference field="4294967294" count="1" selected="0">
            <x v="0"/>
          </reference>
          <reference field="14" count="1" selected="0">
            <x v="2"/>
          </reference>
        </references>
      </pivotArea>
    </chartFormat>
    <chartFormat chart="10" format="16"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rating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5:F30"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h="1" x="3"/>
        <item h="1"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h="1" x="2"/>
        <item h="1" x="1"/>
        <item h="1" x="3"/>
        <item x="0"/>
        <item t="default"/>
      </items>
    </pivotField>
    <pivotField showAll="0" defaultSubtotal="0">
      <items count="7">
        <item x="0"/>
        <item x="1"/>
        <item x="2"/>
        <item x="3"/>
        <item x="4"/>
        <item x="5"/>
        <item x="6"/>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6"/>
    <field x="5"/>
  </rowFields>
  <rowItems count="4">
    <i>
      <x v="1"/>
    </i>
    <i>
      <x v="2"/>
    </i>
    <i>
      <x v="3"/>
    </i>
    <i t="grand">
      <x/>
    </i>
  </rowItems>
  <colFields count="1">
    <field x="9"/>
  </colFields>
  <colItems count="5">
    <i>
      <x v="1"/>
    </i>
    <i>
      <x v="2"/>
    </i>
    <i>
      <x v="3"/>
    </i>
    <i>
      <x v="4"/>
    </i>
    <i t="grand">
      <x/>
    </i>
  </colItems>
  <dataFields count="1">
    <dataField name="Count of TX ID" fld="0" subtotal="count" baseField="0" baseItem="0"/>
  </dataFields>
  <chartFormats count="6">
    <chartFormat chart="4" format="2" series="1">
      <pivotArea type="data" outline="0" fieldPosition="0">
        <references count="1">
          <reference field="4294967294" count="1" selected="0">
            <x v="0"/>
          </reference>
        </references>
      </pivotArea>
    </chartFormat>
    <chartFormat chart="10" format="20" series="1">
      <pivotArea type="data" outline="0" fieldPosition="0">
        <references count="2">
          <reference field="4294967294" count="1" selected="0">
            <x v="0"/>
          </reference>
          <reference field="9" count="1" selected="0">
            <x v="0"/>
          </reference>
        </references>
      </pivotArea>
    </chartFormat>
    <chartFormat chart="10" format="21" series="1">
      <pivotArea type="data" outline="0" fieldPosition="0">
        <references count="2">
          <reference field="4294967294" count="1" selected="0">
            <x v="0"/>
          </reference>
          <reference field="9" count="1" selected="0">
            <x v="1"/>
          </reference>
        </references>
      </pivotArea>
    </chartFormat>
    <chartFormat chart="10" format="22" series="1">
      <pivotArea type="data" outline="0" fieldPosition="0">
        <references count="2">
          <reference field="4294967294" count="1" selected="0">
            <x v="0"/>
          </reference>
          <reference field="9" count="1" selected="0">
            <x v="2"/>
          </reference>
        </references>
      </pivotArea>
    </chartFormat>
    <chartFormat chart="10" format="23" series="1">
      <pivotArea type="data" outline="0" fieldPosition="0">
        <references count="2">
          <reference field="4294967294" count="1" selected="0">
            <x v="0"/>
          </reference>
          <reference field="9" count="1" selected="0">
            <x v="3"/>
          </reference>
        </references>
      </pivotArea>
    </chartFormat>
    <chartFormat chart="10" format="2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daystodeliv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3"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h="1"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h="1" x="1"/>
        <item h="1" x="3"/>
        <item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2"/>
  </rowFields>
  <rowItems count="10">
    <i>
      <x/>
    </i>
    <i>
      <x v="1"/>
    </i>
    <i>
      <x v="2"/>
    </i>
    <i>
      <x v="3"/>
    </i>
    <i>
      <x v="4"/>
    </i>
    <i>
      <x v="5"/>
    </i>
    <i>
      <x v="6"/>
    </i>
    <i>
      <x v="7"/>
    </i>
    <i>
      <x v="14"/>
    </i>
    <i t="grand">
      <x/>
    </i>
  </rowItems>
  <colItems count="1">
    <i/>
  </colItems>
  <dataFields count="1">
    <dataField name="Count of TX ID" fld="0"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Mode" sourceName="Order Mode">
  <pivotTables>
    <pivotTable tabId="12" name="ratings"/>
    <pivotTable tabId="6" name="product summary"/>
    <pivotTable tabId="6" name="productsumm"/>
    <pivotTable tabId="8" name="quantity ordered"/>
    <pivotTable tabId="10" name="PivotTable7"/>
    <pivotTable tabId="10" name="popular products"/>
    <pivotTable tabId="10" name="quantity ordered"/>
    <pivotTable tabId="12" name="daystodeliver"/>
  </pivotTables>
  <data>
    <tabular pivotCacheId="1">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_Value" sourceName="Gender Value">
  <pivotTables>
    <pivotTable tabId="12" name="ratings"/>
    <pivotTable tabId="6" name="product summary"/>
    <pivotTable tabId="6" name="productsumm"/>
    <pivotTable tabId="8" name="quantity ordered"/>
    <pivotTable tabId="10" name="PivotTable7"/>
    <pivotTable tabId="10" name="quantity ordered"/>
    <pivotTable tabId="12" name="daystodeliver"/>
  </pivotTables>
  <data>
    <tabular pivotCacheId="1">
      <items count="4">
        <i x="2"/>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Mode" cache="Slicer_Order_Mode" caption="Order Mode" style="SlicerStyleDark5" rowHeight="230716"/>
  <slicer name="Gender Value" cache="Slicer_Gender_Value" caption="Gender Value" style="SlicerStyleDark4" rowHeight="230716"/>
</slicers>
</file>

<file path=xl/tables/table1.xml><?xml version="1.0" encoding="utf-8"?>
<table xmlns="http://schemas.openxmlformats.org/spreadsheetml/2006/main" id="2" name="Table2" displayName="Table2" ref="G3:K9" totalsRowShown="0">
  <autoFilter ref="G3:K9"/>
  <tableColumns count="5">
    <tableColumn id="1" name="Total orders" dataDxfId="15">
      <calculatedColumnFormula>TEXT(A4,"#,##")</calculatedColumnFormula>
    </tableColumn>
    <tableColumn id="2" name="Total quantity" dataDxfId="14">
      <calculatedColumnFormula>TEXT(B4,"#,##")</calculatedColumnFormula>
    </tableColumn>
    <tableColumn id="3" name="Total Amount" dataDxfId="13">
      <calculatedColumnFormula>TEXT(C4,"$#,##")</calculatedColumnFormula>
    </tableColumn>
    <tableColumn id="4" name="Average Rating" dataDxfId="12">
      <calculatedColumnFormula>TEXT(D4,"#,##")</calculatedColumnFormula>
    </tableColumn>
    <tableColumn id="5" name="Average Days to Deliver" dataDxfId="11">
      <calculatedColumnFormula>TEXT(E4,"#,##")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O541" totalsRowShown="0">
  <autoFilter ref="A1:O541"/>
  <tableColumns count="15">
    <tableColumn id="1" name="TX ID"/>
    <tableColumn id="2" name="Product"/>
    <tableColumn id="3" name="Quantity"/>
    <tableColumn id="4" name="Unit Price"/>
    <tableColumn id="5" name="Amount"/>
    <tableColumn id="6" name="Order Date" dataDxfId="10"/>
    <tableColumn id="7" name="Ship Date" dataDxfId="9"/>
    <tableColumn id="8" name="Customer Gender"/>
    <tableColumn id="9" name="Order Mode"/>
    <tableColumn id="10" name="Rating C"/>
    <tableColumn id="11" name="State"/>
    <tableColumn id="12" name="County"/>
    <tableColumn id="13" name="Days to Deliver"/>
    <tableColumn id="14" name="Weeknum"/>
    <tableColumn id="15" name="Gender Value"/>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1:O782" totalsRowShown="0">
  <autoFilter ref="A1:O782"/>
  <tableColumns count="15">
    <tableColumn id="1" name="TX ID"/>
    <tableColumn id="2" name="Product"/>
    <tableColumn id="3" name="Quantity"/>
    <tableColumn id="4" name="Unit Price"/>
    <tableColumn id="5" name="Amount"/>
    <tableColumn id="6" name="Order Date" dataDxfId="8"/>
    <tableColumn id="7" name="Ship Date" dataDxfId="7"/>
    <tableColumn id="8" name="Customer Gender"/>
    <tableColumn id="9" name="Order Mode"/>
    <tableColumn id="10" name="Rating C"/>
    <tableColumn id="11" name="State"/>
    <tableColumn id="12" name="County"/>
    <tableColumn id="13" name="Days to Deliver"/>
    <tableColumn id="14" name="Weeknum"/>
    <tableColumn id="15" name="Gender Value"/>
  </tableColumns>
  <tableStyleInfo name="TableStyleMedium2" showFirstColumn="0" showLastColumn="0" showRowStripes="1" showColumnStripes="0"/>
</table>
</file>

<file path=xl/tables/table4.xml><?xml version="1.0" encoding="utf-8"?>
<table xmlns="http://schemas.openxmlformats.org/spreadsheetml/2006/main" id="5" name="Table5" displayName="Table5" ref="A1:O38" totalsRowShown="0">
  <autoFilter ref="A1:O38"/>
  <tableColumns count="15">
    <tableColumn id="1" name="TX ID"/>
    <tableColumn id="2" name="Product"/>
    <tableColumn id="3" name="Quantity"/>
    <tableColumn id="4" name="Unit Price"/>
    <tableColumn id="5" name="Amount"/>
    <tableColumn id="6" name="Order Date" dataDxfId="6"/>
    <tableColumn id="7" name="Ship Date" dataDxfId="5"/>
    <tableColumn id="8" name="Customer Gender"/>
    <tableColumn id="9" name="Order Mode"/>
    <tableColumn id="10" name="Rating C"/>
    <tableColumn id="11" name="State"/>
    <tableColumn id="12" name="County"/>
    <tableColumn id="13" name="Days to Deliver"/>
    <tableColumn id="14" name="Weeknum"/>
    <tableColumn id="15" name="Gender Value"/>
  </tableColumns>
  <tableStyleInfo name="TableStyleMedium2" showFirstColumn="0" showLastColumn="0" showRowStripes="1" showColumnStripes="0"/>
</table>
</file>

<file path=xl/tables/table5.xml><?xml version="1.0" encoding="utf-8"?>
<table xmlns="http://schemas.openxmlformats.org/spreadsheetml/2006/main" id="1" name="orders" displayName="orders" ref="A1:O2401" totalsRowShown="0">
  <tableColumns count="15">
    <tableColumn id="1" name="TX ID"/>
    <tableColumn id="2" name="Product"/>
    <tableColumn id="3" name="Quantity"/>
    <tableColumn id="4" name="Unit Price"/>
    <tableColumn id="5" name="Amount"/>
    <tableColumn id="6" name="Order Date" dataDxfId="4"/>
    <tableColumn id="7" name="Ship Date" dataDxfId="3"/>
    <tableColumn id="8" name="Customer Gender"/>
    <tableColumn id="9" name="Order Mode"/>
    <tableColumn id="10" name="Rating C"/>
    <tableColumn id="15" name="State"/>
    <tableColumn id="14" name="County"/>
    <tableColumn id="11" name="Days to Deliver" dataDxfId="2">
      <calculatedColumnFormula>orders[[#This Row],[Ship Date]]-orders[[#This Row],[Order Date]]</calculatedColumnFormula>
    </tableColumn>
    <tableColumn id="12" name="Weeknum" dataDxfId="1">
      <calculatedColumnFormula>WEEKNUM(orders[[#This Row],[Order Date]])</calculatedColumnFormula>
    </tableColumn>
    <tableColumn id="13"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8"/>
  <sheetViews>
    <sheetView workbookViewId="0">
      <selection activeCell="A4" sqref="A4"/>
    </sheetView>
  </sheetViews>
  <sheetFormatPr defaultRowHeight="14"/>
  <cols>
    <col min="1" max="1" width="13.4140625" customWidth="1"/>
    <col min="2" max="2" width="14.5" customWidth="1"/>
    <col min="3" max="3" width="14.08203125" customWidth="1"/>
    <col min="4" max="4" width="18" customWidth="1"/>
    <col min="5" max="5" width="23.58203125" bestFit="1" customWidth="1"/>
    <col min="7" max="7" width="14.5" customWidth="1"/>
    <col min="8" max="8" width="15.4140625" customWidth="1"/>
    <col min="9" max="9" width="14.08203125" customWidth="1"/>
    <col min="10" max="10" width="17.75" customWidth="1"/>
    <col min="11" max="11" width="23.33203125" customWidth="1"/>
    <col min="12" max="15" width="10.1640625" customWidth="1"/>
  </cols>
  <sheetData>
    <row r="3" spans="1:11">
      <c r="A3" t="s">
        <v>2518</v>
      </c>
      <c r="B3" t="s">
        <v>2519</v>
      </c>
      <c r="C3" t="s">
        <v>2520</v>
      </c>
      <c r="D3" t="s">
        <v>2521</v>
      </c>
      <c r="E3" t="s">
        <v>2522</v>
      </c>
      <c r="G3" t="s">
        <v>2523</v>
      </c>
      <c r="H3" t="s">
        <v>2524</v>
      </c>
      <c r="I3" t="s">
        <v>2506</v>
      </c>
      <c r="J3" t="s">
        <v>2525</v>
      </c>
      <c r="K3" t="s">
        <v>2526</v>
      </c>
    </row>
    <row r="4" spans="1:11">
      <c r="A4" s="5">
        <v>49</v>
      </c>
      <c r="B4" s="5">
        <v>261</v>
      </c>
      <c r="C4" s="5">
        <v>19859.499999999996</v>
      </c>
      <c r="D4" s="5">
        <v>3.9591836734693877</v>
      </c>
      <c r="E4" s="5">
        <v>2.306122448979592</v>
      </c>
      <c r="G4" t="str">
        <f t="shared" ref="G4:G9" si="0">TEXT(A4,"#,##")</f>
        <v>49</v>
      </c>
      <c r="H4" t="str">
        <f t="shared" ref="H4:H9" si="1">TEXT(B4,"#,##")</f>
        <v>261</v>
      </c>
      <c r="I4" t="str">
        <f t="shared" ref="I4:I9" si="2">TEXT(C4,"$#,##")</f>
        <v>$19,860</v>
      </c>
      <c r="J4" t="str">
        <f t="shared" ref="J4:J9" si="3">TEXT(D4,"#,##")</f>
        <v>4</v>
      </c>
      <c r="K4" t="str">
        <f t="shared" ref="K4:K9" si="4">TEXT(E4,"#,##")</f>
        <v>2</v>
      </c>
    </row>
    <row r="5" spans="1:11">
      <c r="G5" t="str">
        <f t="shared" si="0"/>
        <v/>
      </c>
      <c r="H5" t="str">
        <f t="shared" si="1"/>
        <v/>
      </c>
      <c r="I5" t="str">
        <f t="shared" si="2"/>
        <v>$</v>
      </c>
      <c r="J5" t="str">
        <f t="shared" si="3"/>
        <v/>
      </c>
      <c r="K5" t="str">
        <f t="shared" si="4"/>
        <v/>
      </c>
    </row>
    <row r="6" spans="1:11">
      <c r="G6" t="str">
        <f t="shared" si="0"/>
        <v/>
      </c>
      <c r="H6" t="str">
        <f t="shared" si="1"/>
        <v/>
      </c>
      <c r="I6" t="str">
        <f t="shared" si="2"/>
        <v>$</v>
      </c>
      <c r="J6" t="str">
        <f t="shared" si="3"/>
        <v/>
      </c>
      <c r="K6" t="str">
        <f t="shared" si="4"/>
        <v/>
      </c>
    </row>
    <row r="7" spans="1:11">
      <c r="G7" t="str">
        <f t="shared" si="0"/>
        <v/>
      </c>
      <c r="H7" t="str">
        <f t="shared" si="1"/>
        <v/>
      </c>
      <c r="I7" t="str">
        <f t="shared" si="2"/>
        <v>$</v>
      </c>
      <c r="J7" t="str">
        <f t="shared" si="3"/>
        <v/>
      </c>
      <c r="K7" t="str">
        <f t="shared" si="4"/>
        <v/>
      </c>
    </row>
    <row r="8" spans="1:11">
      <c r="G8" t="str">
        <f t="shared" si="0"/>
        <v/>
      </c>
      <c r="H8" t="str">
        <f t="shared" si="1"/>
        <v/>
      </c>
      <c r="I8" t="str">
        <f t="shared" si="2"/>
        <v>$</v>
      </c>
      <c r="J8" t="str">
        <f t="shared" si="3"/>
        <v/>
      </c>
      <c r="K8" t="str">
        <f t="shared" si="4"/>
        <v/>
      </c>
    </row>
    <row r="9" spans="1:11">
      <c r="G9" t="str">
        <f t="shared" si="0"/>
        <v/>
      </c>
      <c r="H9" t="str">
        <f t="shared" si="1"/>
        <v/>
      </c>
      <c r="I9" t="str">
        <f t="shared" si="2"/>
        <v>$</v>
      </c>
      <c r="J9" t="str">
        <f t="shared" si="3"/>
        <v/>
      </c>
      <c r="K9" t="str">
        <f t="shared" si="4"/>
        <v/>
      </c>
    </row>
    <row r="14" spans="1:11">
      <c r="A14" s="6" t="s">
        <v>2527</v>
      </c>
      <c r="B14" t="s">
        <v>2519</v>
      </c>
      <c r="C14" s="8" t="s">
        <v>2520</v>
      </c>
    </row>
    <row r="15" spans="1:11">
      <c r="A15" s="7">
        <v>1</v>
      </c>
      <c r="B15" s="5">
        <v>6</v>
      </c>
      <c r="C15" s="8">
        <v>284.39999999999998</v>
      </c>
    </row>
    <row r="16" spans="1:11">
      <c r="A16" s="7">
        <v>2</v>
      </c>
      <c r="B16" s="5">
        <v>8</v>
      </c>
      <c r="C16" s="8">
        <v>435.50000000000006</v>
      </c>
    </row>
    <row r="17" spans="1:3">
      <c r="A17" s="7">
        <v>3</v>
      </c>
      <c r="B17" s="5">
        <v>15</v>
      </c>
      <c r="C17" s="8">
        <v>726.5</v>
      </c>
    </row>
    <row r="18" spans="1:3">
      <c r="A18" s="7">
        <v>4</v>
      </c>
      <c r="B18" s="5">
        <v>4</v>
      </c>
      <c r="C18" s="8">
        <v>230.2</v>
      </c>
    </row>
    <row r="19" spans="1:3">
      <c r="A19" s="7">
        <v>5</v>
      </c>
      <c r="B19" s="5">
        <v>21</v>
      </c>
      <c r="C19" s="8">
        <v>497.6</v>
      </c>
    </row>
    <row r="20" spans="1:3">
      <c r="A20" s="7">
        <v>6</v>
      </c>
      <c r="B20" s="5">
        <v>18</v>
      </c>
      <c r="C20" s="8">
        <v>725.3</v>
      </c>
    </row>
    <row r="21" spans="1:3">
      <c r="A21" s="7">
        <v>7</v>
      </c>
      <c r="B21" s="5">
        <v>18</v>
      </c>
      <c r="C21" s="8">
        <v>1026.9000000000001</v>
      </c>
    </row>
    <row r="22" spans="1:3">
      <c r="A22" s="7">
        <v>8</v>
      </c>
      <c r="B22" s="5">
        <v>21</v>
      </c>
      <c r="C22" s="8">
        <v>1185</v>
      </c>
    </row>
    <row r="23" spans="1:3">
      <c r="A23" s="7">
        <v>9</v>
      </c>
      <c r="B23" s="5">
        <v>85</v>
      </c>
      <c r="C23" s="8">
        <v>9305.5</v>
      </c>
    </row>
    <row r="24" spans="1:3">
      <c r="A24" s="7">
        <v>10</v>
      </c>
      <c r="B24" s="5">
        <v>10</v>
      </c>
      <c r="C24" s="8">
        <v>474</v>
      </c>
    </row>
    <row r="25" spans="1:3">
      <c r="A25" s="7">
        <v>11</v>
      </c>
      <c r="B25" s="5">
        <v>14</v>
      </c>
      <c r="C25" s="8">
        <v>897.3</v>
      </c>
    </row>
    <row r="26" spans="1:3">
      <c r="A26" s="7">
        <v>12</v>
      </c>
      <c r="B26" s="5">
        <v>13</v>
      </c>
      <c r="C26" s="8">
        <v>280</v>
      </c>
    </row>
    <row r="27" spans="1:3">
      <c r="A27" s="7">
        <v>13</v>
      </c>
      <c r="B27" s="5">
        <v>28</v>
      </c>
      <c r="C27" s="8">
        <v>3791.2999999999997</v>
      </c>
    </row>
    <row r="28" spans="1:3">
      <c r="A28" s="7" t="s">
        <v>2528</v>
      </c>
      <c r="B28" s="5">
        <v>261</v>
      </c>
      <c r="C28" s="8">
        <v>19859.5</v>
      </c>
    </row>
  </sheetData>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1"/>
  <sheetViews>
    <sheetView showGridLines="0" topLeftCell="A4" workbookViewId="0">
      <selection activeCell="B6" sqref="B6"/>
    </sheetView>
  </sheetViews>
  <sheetFormatPr defaultRowHeight="14"/>
  <cols>
    <col min="1" max="1" width="14.08203125" customWidth="1"/>
    <col min="2" max="2" width="15.58203125" bestFit="1" customWidth="1"/>
    <col min="3" max="3" width="6.9140625" customWidth="1"/>
    <col min="4" max="4" width="5.9140625" customWidth="1"/>
    <col min="5" max="5" width="9" customWidth="1"/>
    <col min="6" max="6" width="10.83203125" bestFit="1" customWidth="1"/>
    <col min="8" max="8" width="11.08203125" customWidth="1"/>
  </cols>
  <sheetData>
    <row r="3" spans="1:12">
      <c r="A3" s="6" t="s">
        <v>2520</v>
      </c>
      <c r="B3" s="6" t="s">
        <v>2529</v>
      </c>
    </row>
    <row r="4" spans="1:12">
      <c r="A4" s="6" t="s">
        <v>2527</v>
      </c>
      <c r="B4" t="s">
        <v>2530</v>
      </c>
      <c r="C4" t="s">
        <v>2531</v>
      </c>
      <c r="D4" t="s">
        <v>2532</v>
      </c>
      <c r="E4" t="s">
        <v>2533</v>
      </c>
      <c r="F4" t="s">
        <v>2528</v>
      </c>
    </row>
    <row r="5" spans="1:12">
      <c r="A5" s="7" t="s">
        <v>18</v>
      </c>
      <c r="B5" s="9">
        <v>0.18961825201634841</v>
      </c>
      <c r="C5" s="9">
        <v>0.12262322351336576</v>
      </c>
      <c r="D5" s="9">
        <v>1.060537752469185E-2</v>
      </c>
      <c r="E5" s="9">
        <v>3.0599220547662797E-2</v>
      </c>
      <c r="F5" s="9">
        <v>0.35344607360206881</v>
      </c>
      <c r="H5" t="s">
        <v>2534</v>
      </c>
    </row>
    <row r="6" spans="1:12">
      <c r="A6" s="7" t="s">
        <v>51</v>
      </c>
      <c r="B6" s="9">
        <v>5.0283982091147303E-2</v>
      </c>
      <c r="C6" s="9">
        <v>4.3060781812819873E-2</v>
      </c>
      <c r="D6" s="9">
        <v>1.5320025675641944E-3</v>
      </c>
      <c r="E6" s="9">
        <v>1.7794988689097006E-2</v>
      </c>
      <c r="F6" s="9">
        <v>0.11267175516062837</v>
      </c>
      <c r="H6" s="10"/>
      <c r="I6" s="10" t="str">
        <f t="shared" ref="I6:L11" si="0">B4</f>
        <v>Female</v>
      </c>
      <c r="J6" s="10" t="str">
        <f t="shared" si="0"/>
        <v>Male</v>
      </c>
      <c r="K6" s="10" t="str">
        <f t="shared" si="0"/>
        <v>Other</v>
      </c>
      <c r="L6" s="10" t="str">
        <f t="shared" si="0"/>
        <v>Unknown</v>
      </c>
    </row>
    <row r="7" spans="1:12">
      <c r="A7" s="7" t="s">
        <v>70</v>
      </c>
      <c r="B7" s="9">
        <v>6.3496059750411282E-2</v>
      </c>
      <c r="C7" s="9">
        <v>4.6071629863988765E-2</v>
      </c>
      <c r="D7" s="9">
        <v>2.306247051322625E-3</v>
      </c>
      <c r="E7" s="9">
        <v>3.8927934093844286E-3</v>
      </c>
      <c r="F7" s="9">
        <v>0.11576673007510711</v>
      </c>
      <c r="H7" s="10" t="str">
        <f>A5</f>
        <v>App</v>
      </c>
      <c r="I7" s="11">
        <f t="shared" si="0"/>
        <v>0.18961825201634841</v>
      </c>
      <c r="J7" s="11">
        <f t="shared" si="0"/>
        <v>0.12262322351336576</v>
      </c>
      <c r="K7" s="11">
        <f t="shared" si="0"/>
        <v>1.060537752469185E-2</v>
      </c>
      <c r="L7" s="11">
        <f t="shared" si="0"/>
        <v>3.0599220547662797E-2</v>
      </c>
    </row>
    <row r="8" spans="1:12">
      <c r="A8" s="7" t="s">
        <v>40</v>
      </c>
      <c r="B8" s="9">
        <v>9.6337892927149532E-2</v>
      </c>
      <c r="C8" s="9">
        <v>6.7920115842382611E-2</v>
      </c>
      <c r="D8" s="9">
        <v>5.4979832664581261E-3</v>
      </c>
      <c r="E8" s="9">
        <v>1.2933041488102518E-2</v>
      </c>
      <c r="F8" s="9">
        <v>0.1826890335240928</v>
      </c>
      <c r="H8" s="10" t="str">
        <f>A6</f>
        <v>Instagram</v>
      </c>
      <c r="I8" s="11">
        <f t="shared" si="0"/>
        <v>5.0283982091147303E-2</v>
      </c>
      <c r="J8" s="11">
        <f t="shared" si="0"/>
        <v>4.3060781812819873E-2</v>
      </c>
      <c r="K8" s="11">
        <f t="shared" si="0"/>
        <v>1.5320025675641944E-3</v>
      </c>
      <c r="L8" s="11">
        <f t="shared" si="0"/>
        <v>1.7794988689097006E-2</v>
      </c>
    </row>
    <row r="9" spans="1:12">
      <c r="A9" s="7" t="s">
        <v>35</v>
      </c>
      <c r="B9" s="9">
        <v>0.12522098709469262</v>
      </c>
      <c r="C9" s="9">
        <v>9.1492740283116228E-2</v>
      </c>
      <c r="D9" s="9">
        <v>6.3042760790965081E-3</v>
      </c>
      <c r="E9" s="9">
        <v>1.2408404181197551E-2</v>
      </c>
      <c r="F9" s="9">
        <v>0.23542640763810288</v>
      </c>
      <c r="H9" s="10" t="str">
        <f>A7</f>
        <v>Partner App</v>
      </c>
      <c r="I9" s="11">
        <f t="shared" si="0"/>
        <v>6.3496059750411282E-2</v>
      </c>
      <c r="J9" s="11">
        <f t="shared" si="0"/>
        <v>4.6071629863988765E-2</v>
      </c>
      <c r="K9" s="11">
        <f t="shared" si="0"/>
        <v>2.306247051322625E-3</v>
      </c>
      <c r="L9" s="11">
        <f t="shared" si="0"/>
        <v>3.8927934093844286E-3</v>
      </c>
    </row>
    <row r="10" spans="1:12">
      <c r="A10" s="7" t="s">
        <v>2528</v>
      </c>
      <c r="B10" s="9">
        <v>0.52495717387974916</v>
      </c>
      <c r="C10" s="9">
        <v>0.3711684913156732</v>
      </c>
      <c r="D10" s="9">
        <v>2.6245886489133303E-2</v>
      </c>
      <c r="E10" s="9">
        <v>7.7628448315444312E-2</v>
      </c>
      <c r="F10" s="9">
        <v>1</v>
      </c>
      <c r="H10" s="10" t="str">
        <f>A8</f>
        <v>Target.com</v>
      </c>
      <c r="I10" s="11">
        <f t="shared" si="0"/>
        <v>9.6337892927149532E-2</v>
      </c>
      <c r="J10" s="11">
        <f t="shared" si="0"/>
        <v>6.7920115842382611E-2</v>
      </c>
      <c r="K10" s="11">
        <f t="shared" si="0"/>
        <v>5.4979832664581261E-3</v>
      </c>
      <c r="L10" s="11">
        <f t="shared" si="0"/>
        <v>1.2933041488102518E-2</v>
      </c>
    </row>
    <row r="11" spans="1:12">
      <c r="H11" s="10" t="str">
        <f>A9</f>
        <v>Website</v>
      </c>
      <c r="I11" s="11">
        <f t="shared" si="0"/>
        <v>0.12522098709469262</v>
      </c>
      <c r="J11" s="11">
        <f t="shared" si="0"/>
        <v>9.1492740283116228E-2</v>
      </c>
      <c r="K11" s="11">
        <f t="shared" si="0"/>
        <v>6.3042760790965081E-3</v>
      </c>
      <c r="L11" s="11">
        <f t="shared" si="0"/>
        <v>1.2408404181197551E-2</v>
      </c>
    </row>
  </sheetData>
  <conditionalFormatting sqref="I7:L11">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1"/>
  <sheetViews>
    <sheetView workbookViewId="0">
      <selection activeCell="E19" sqref="E19"/>
    </sheetView>
  </sheetViews>
  <sheetFormatPr defaultRowHeight="14"/>
  <cols>
    <col min="2" max="2" width="9.33203125" customWidth="1"/>
    <col min="3" max="3" width="9.6640625" customWidth="1"/>
    <col min="4" max="4" width="10.83203125" customWidth="1"/>
    <col min="5" max="5" width="9.25" customWidth="1"/>
    <col min="6" max="6" width="11.83203125" customWidth="1"/>
    <col min="7" max="7" width="10.83203125" customWidth="1"/>
    <col min="8" max="8" width="17.6640625" customWidth="1"/>
    <col min="9" max="9" width="12.5" customWidth="1"/>
    <col min="10" max="10" width="9.9140625" customWidth="1"/>
    <col min="13" max="13" width="15.4140625" customWidth="1"/>
    <col min="14" max="14" width="11.08203125" customWidth="1"/>
    <col min="15" max="15" width="14.0820312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2502</v>
      </c>
      <c r="B2" t="s">
        <v>146</v>
      </c>
      <c r="C2">
        <v>2</v>
      </c>
      <c r="D2">
        <v>84.2</v>
      </c>
      <c r="E2">
        <v>168.4</v>
      </c>
      <c r="F2" s="12">
        <v>45745</v>
      </c>
      <c r="G2" s="12">
        <v>45747</v>
      </c>
      <c r="H2" t="s">
        <v>23</v>
      </c>
      <c r="I2" t="s">
        <v>40</v>
      </c>
      <c r="J2">
        <v>5</v>
      </c>
      <c r="K2" t="s">
        <v>19</v>
      </c>
      <c r="L2" t="s">
        <v>82</v>
      </c>
      <c r="M2">
        <v>2</v>
      </c>
      <c r="N2">
        <v>13</v>
      </c>
      <c r="O2" t="s">
        <v>2531</v>
      </c>
    </row>
    <row r="3" spans="1:15">
      <c r="A3" t="s">
        <v>21</v>
      </c>
      <c r="B3" t="s">
        <v>22</v>
      </c>
      <c r="C3">
        <v>2</v>
      </c>
      <c r="D3">
        <v>30.6</v>
      </c>
      <c r="E3">
        <v>61.2</v>
      </c>
      <c r="F3" s="12">
        <v>45658</v>
      </c>
      <c r="G3" s="12">
        <v>45660</v>
      </c>
      <c r="H3" t="s">
        <v>23</v>
      </c>
      <c r="I3" t="s">
        <v>18</v>
      </c>
      <c r="J3">
        <v>4</v>
      </c>
      <c r="K3" t="s">
        <v>19</v>
      </c>
      <c r="L3" t="s">
        <v>24</v>
      </c>
      <c r="M3">
        <v>2</v>
      </c>
      <c r="N3">
        <v>1</v>
      </c>
      <c r="O3" t="s">
        <v>2531</v>
      </c>
    </row>
    <row r="4" spans="1:15">
      <c r="A4" t="s">
        <v>2501</v>
      </c>
      <c r="B4" t="s">
        <v>69</v>
      </c>
      <c r="C4">
        <v>2</v>
      </c>
      <c r="D4">
        <v>31</v>
      </c>
      <c r="E4">
        <v>62</v>
      </c>
      <c r="F4" s="12">
        <v>45745</v>
      </c>
      <c r="G4" s="12">
        <v>45747</v>
      </c>
      <c r="H4" t="s">
        <v>27</v>
      </c>
      <c r="I4" t="s">
        <v>40</v>
      </c>
      <c r="J4">
        <v>4</v>
      </c>
      <c r="K4" t="s">
        <v>19</v>
      </c>
      <c r="L4" t="s">
        <v>108</v>
      </c>
      <c r="M4">
        <v>2</v>
      </c>
      <c r="N4">
        <v>13</v>
      </c>
      <c r="O4" t="s">
        <v>2530</v>
      </c>
    </row>
    <row r="5" spans="1:15">
      <c r="A5" t="s">
        <v>2500</v>
      </c>
      <c r="B5" t="s">
        <v>54</v>
      </c>
      <c r="C5">
        <v>2</v>
      </c>
      <c r="D5">
        <v>22.1</v>
      </c>
      <c r="E5">
        <v>44.2</v>
      </c>
      <c r="F5" s="12">
        <v>45745</v>
      </c>
      <c r="G5" s="12">
        <v>45746</v>
      </c>
      <c r="H5" t="s">
        <v>27</v>
      </c>
      <c r="I5" t="s">
        <v>70</v>
      </c>
      <c r="J5">
        <v>4</v>
      </c>
      <c r="K5" t="s">
        <v>19</v>
      </c>
      <c r="L5" t="s">
        <v>77</v>
      </c>
      <c r="M5">
        <v>1</v>
      </c>
      <c r="N5">
        <v>13</v>
      </c>
      <c r="O5" t="s">
        <v>2530</v>
      </c>
    </row>
    <row r="6" spans="1:15">
      <c r="A6" t="s">
        <v>2499</v>
      </c>
      <c r="B6" t="s">
        <v>123</v>
      </c>
      <c r="C6">
        <v>2</v>
      </c>
      <c r="D6">
        <v>22.9</v>
      </c>
      <c r="E6">
        <v>45.8</v>
      </c>
      <c r="F6" s="12">
        <v>45745</v>
      </c>
      <c r="G6" s="12">
        <v>45746</v>
      </c>
      <c r="H6" t="s">
        <v>23</v>
      </c>
      <c r="I6" t="s">
        <v>18</v>
      </c>
      <c r="J6">
        <v>4</v>
      </c>
      <c r="K6" t="s">
        <v>19</v>
      </c>
      <c r="L6" t="s">
        <v>77</v>
      </c>
      <c r="M6">
        <v>1</v>
      </c>
      <c r="N6">
        <v>13</v>
      </c>
      <c r="O6" t="s">
        <v>2531</v>
      </c>
    </row>
    <row r="7" spans="1:15">
      <c r="A7" t="s">
        <v>2495</v>
      </c>
      <c r="B7" t="s">
        <v>26</v>
      </c>
      <c r="C7">
        <v>2</v>
      </c>
      <c r="D7">
        <v>117.8</v>
      </c>
      <c r="E7">
        <v>235.6</v>
      </c>
      <c r="F7" s="12">
        <v>45745</v>
      </c>
      <c r="G7" s="12">
        <v>45747</v>
      </c>
      <c r="H7" t="s">
        <v>23</v>
      </c>
      <c r="I7" t="s">
        <v>35</v>
      </c>
      <c r="J7">
        <v>5</v>
      </c>
      <c r="K7" t="s">
        <v>19</v>
      </c>
      <c r="L7" t="s">
        <v>62</v>
      </c>
      <c r="M7">
        <v>2</v>
      </c>
      <c r="N7">
        <v>13</v>
      </c>
      <c r="O7" t="s">
        <v>2531</v>
      </c>
    </row>
    <row r="8" spans="1:15">
      <c r="A8" t="s">
        <v>2494</v>
      </c>
      <c r="B8" t="s">
        <v>22</v>
      </c>
      <c r="C8">
        <v>2</v>
      </c>
      <c r="D8">
        <v>82.4</v>
      </c>
      <c r="E8">
        <v>164.8</v>
      </c>
      <c r="F8" s="12">
        <v>45745</v>
      </c>
      <c r="G8" s="12">
        <v>45748</v>
      </c>
      <c r="H8" t="s">
        <v>17</v>
      </c>
      <c r="I8" t="s">
        <v>18</v>
      </c>
      <c r="J8">
        <v>4</v>
      </c>
      <c r="K8" t="s">
        <v>19</v>
      </c>
      <c r="L8" t="s">
        <v>59</v>
      </c>
      <c r="M8">
        <v>3</v>
      </c>
      <c r="N8">
        <v>13</v>
      </c>
      <c r="O8" t="s">
        <v>2533</v>
      </c>
    </row>
    <row r="9" spans="1:15">
      <c r="A9" t="s">
        <v>38</v>
      </c>
      <c r="B9" t="s">
        <v>39</v>
      </c>
      <c r="C9">
        <v>2</v>
      </c>
      <c r="D9">
        <v>40.299999999999997</v>
      </c>
      <c r="E9">
        <v>80.599999999999994</v>
      </c>
      <c r="F9" s="12">
        <v>45658</v>
      </c>
      <c r="G9" s="12">
        <v>45659</v>
      </c>
      <c r="H9" t="s">
        <v>23</v>
      </c>
      <c r="I9" t="s">
        <v>40</v>
      </c>
      <c r="J9">
        <v>5</v>
      </c>
      <c r="K9" t="s">
        <v>19</v>
      </c>
      <c r="L9" t="s">
        <v>33</v>
      </c>
      <c r="M9">
        <v>1</v>
      </c>
      <c r="N9">
        <v>1</v>
      </c>
      <c r="O9" t="s">
        <v>2531</v>
      </c>
    </row>
    <row r="10" spans="1:15">
      <c r="A10" t="s">
        <v>2493</v>
      </c>
      <c r="B10" t="s">
        <v>67</v>
      </c>
      <c r="C10">
        <v>2</v>
      </c>
      <c r="D10">
        <v>26.9</v>
      </c>
      <c r="E10">
        <v>53.8</v>
      </c>
      <c r="F10" s="12">
        <v>45745</v>
      </c>
      <c r="G10" s="12">
        <v>45747</v>
      </c>
      <c r="H10" t="s">
        <v>27</v>
      </c>
      <c r="I10" t="s">
        <v>40</v>
      </c>
      <c r="J10">
        <v>4</v>
      </c>
      <c r="K10" t="s">
        <v>19</v>
      </c>
      <c r="L10" t="s">
        <v>55</v>
      </c>
      <c r="M10">
        <v>2</v>
      </c>
      <c r="N10">
        <v>13</v>
      </c>
      <c r="O10" t="s">
        <v>2530</v>
      </c>
    </row>
    <row r="11" spans="1:15">
      <c r="A11" t="s">
        <v>2492</v>
      </c>
      <c r="B11" t="s">
        <v>44</v>
      </c>
      <c r="C11">
        <v>2</v>
      </c>
      <c r="D11">
        <v>20.2</v>
      </c>
      <c r="E11">
        <v>40.4</v>
      </c>
      <c r="F11" s="12">
        <v>45745</v>
      </c>
      <c r="G11" s="12">
        <v>45746</v>
      </c>
      <c r="H11" t="s">
        <v>27</v>
      </c>
      <c r="I11" t="s">
        <v>18</v>
      </c>
      <c r="J11">
        <v>4</v>
      </c>
      <c r="K11" t="s">
        <v>19</v>
      </c>
      <c r="L11" t="s">
        <v>55</v>
      </c>
      <c r="M11">
        <v>1</v>
      </c>
      <c r="N11">
        <v>13</v>
      </c>
      <c r="O11" t="s">
        <v>2530</v>
      </c>
    </row>
    <row r="12" spans="1:15">
      <c r="A12" t="s">
        <v>45</v>
      </c>
      <c r="B12" t="s">
        <v>46</v>
      </c>
      <c r="C12">
        <v>2</v>
      </c>
      <c r="D12">
        <v>54.4</v>
      </c>
      <c r="E12">
        <v>108.8</v>
      </c>
      <c r="F12" s="12">
        <v>45658</v>
      </c>
      <c r="G12" s="12">
        <v>45664</v>
      </c>
      <c r="H12" t="s">
        <v>27</v>
      </c>
      <c r="I12" t="s">
        <v>18</v>
      </c>
      <c r="J12">
        <v>4</v>
      </c>
      <c r="K12" t="s">
        <v>19</v>
      </c>
      <c r="L12" t="s">
        <v>33</v>
      </c>
      <c r="M12">
        <v>6</v>
      </c>
      <c r="N12">
        <v>1</v>
      </c>
      <c r="O12" t="s">
        <v>2530</v>
      </c>
    </row>
    <row r="13" spans="1:15">
      <c r="A13" t="s">
        <v>47</v>
      </c>
      <c r="B13" t="s">
        <v>46</v>
      </c>
      <c r="C13">
        <v>2</v>
      </c>
      <c r="D13">
        <v>49</v>
      </c>
      <c r="E13">
        <v>98</v>
      </c>
      <c r="F13" s="12">
        <v>45658</v>
      </c>
      <c r="G13" s="12">
        <v>45660</v>
      </c>
      <c r="H13" t="s">
        <v>27</v>
      </c>
      <c r="I13" t="s">
        <v>40</v>
      </c>
      <c r="J13">
        <v>3</v>
      </c>
      <c r="K13" t="s">
        <v>19</v>
      </c>
      <c r="L13" t="s">
        <v>33</v>
      </c>
      <c r="M13">
        <v>2</v>
      </c>
      <c r="N13">
        <v>1</v>
      </c>
      <c r="O13" t="s">
        <v>2530</v>
      </c>
    </row>
    <row r="14" spans="1:15">
      <c r="A14" t="s">
        <v>2488</v>
      </c>
      <c r="B14" t="s">
        <v>39</v>
      </c>
      <c r="C14">
        <v>2</v>
      </c>
      <c r="D14">
        <v>56.5</v>
      </c>
      <c r="E14">
        <v>113</v>
      </c>
      <c r="F14" s="12">
        <v>45745</v>
      </c>
      <c r="G14" s="12">
        <v>45749</v>
      </c>
      <c r="H14" t="s">
        <v>23</v>
      </c>
      <c r="I14" t="s">
        <v>35</v>
      </c>
      <c r="J14">
        <v>3</v>
      </c>
      <c r="K14" t="s">
        <v>19</v>
      </c>
      <c r="L14" t="s">
        <v>33</v>
      </c>
      <c r="M14">
        <v>4</v>
      </c>
      <c r="N14">
        <v>13</v>
      </c>
      <c r="O14" t="s">
        <v>2531</v>
      </c>
    </row>
    <row r="15" spans="1:15">
      <c r="A15" t="s">
        <v>2486</v>
      </c>
      <c r="B15" t="s">
        <v>54</v>
      </c>
      <c r="C15">
        <v>2</v>
      </c>
      <c r="D15">
        <v>43.6</v>
      </c>
      <c r="E15">
        <v>87.2</v>
      </c>
      <c r="F15" s="12">
        <v>45745</v>
      </c>
      <c r="G15" s="12">
        <v>45746</v>
      </c>
      <c r="H15" t="s">
        <v>23</v>
      </c>
      <c r="I15" t="s">
        <v>35</v>
      </c>
      <c r="J15">
        <v>5</v>
      </c>
      <c r="K15" t="s">
        <v>19</v>
      </c>
      <c r="L15" t="s">
        <v>33</v>
      </c>
      <c r="M15">
        <v>1</v>
      </c>
      <c r="N15">
        <v>13</v>
      </c>
      <c r="O15" t="s">
        <v>2531</v>
      </c>
    </row>
    <row r="16" spans="1:15">
      <c r="A16" t="s">
        <v>2480</v>
      </c>
      <c r="B16" t="s">
        <v>30</v>
      </c>
      <c r="C16">
        <v>2</v>
      </c>
      <c r="D16">
        <v>42.2</v>
      </c>
      <c r="E16">
        <v>84.4</v>
      </c>
      <c r="F16" s="12">
        <v>45745</v>
      </c>
      <c r="G16" s="12">
        <v>45747</v>
      </c>
      <c r="H16" t="s">
        <v>27</v>
      </c>
      <c r="I16" t="s">
        <v>18</v>
      </c>
      <c r="J16">
        <v>5</v>
      </c>
      <c r="K16" t="s">
        <v>19</v>
      </c>
      <c r="L16" t="s">
        <v>24</v>
      </c>
      <c r="M16">
        <v>2</v>
      </c>
      <c r="N16">
        <v>13</v>
      </c>
      <c r="O16" t="s">
        <v>2530</v>
      </c>
    </row>
    <row r="17" spans="1:15">
      <c r="A17" t="s">
        <v>2478</v>
      </c>
      <c r="B17" t="s">
        <v>54</v>
      </c>
      <c r="C17">
        <v>2</v>
      </c>
      <c r="D17">
        <v>25.1</v>
      </c>
      <c r="E17">
        <v>50.2</v>
      </c>
      <c r="F17" s="12">
        <v>45745</v>
      </c>
      <c r="G17" s="12">
        <v>45747</v>
      </c>
      <c r="H17" t="s">
        <v>17</v>
      </c>
      <c r="I17" t="s">
        <v>35</v>
      </c>
      <c r="J17">
        <v>4</v>
      </c>
      <c r="K17" t="s">
        <v>19</v>
      </c>
      <c r="L17" t="s">
        <v>115</v>
      </c>
      <c r="M17">
        <v>2</v>
      </c>
      <c r="N17">
        <v>13</v>
      </c>
      <c r="O17" t="s">
        <v>2533</v>
      </c>
    </row>
    <row r="18" spans="1:15">
      <c r="A18" t="s">
        <v>2472</v>
      </c>
      <c r="B18" t="s">
        <v>30</v>
      </c>
      <c r="C18">
        <v>2</v>
      </c>
      <c r="D18">
        <v>38.5</v>
      </c>
      <c r="E18">
        <v>77</v>
      </c>
      <c r="F18" s="12">
        <v>45744</v>
      </c>
      <c r="G18" s="12">
        <v>45745</v>
      </c>
      <c r="H18" t="s">
        <v>23</v>
      </c>
      <c r="I18" t="s">
        <v>18</v>
      </c>
      <c r="J18">
        <v>5</v>
      </c>
      <c r="K18" t="s">
        <v>19</v>
      </c>
      <c r="L18" t="s">
        <v>62</v>
      </c>
      <c r="M18">
        <v>1</v>
      </c>
      <c r="N18">
        <v>13</v>
      </c>
      <c r="O18" t="s">
        <v>2531</v>
      </c>
    </row>
    <row r="19" spans="1:15">
      <c r="A19" t="s">
        <v>2468</v>
      </c>
      <c r="B19" t="s">
        <v>46</v>
      </c>
      <c r="C19">
        <v>2</v>
      </c>
      <c r="D19">
        <v>22.6</v>
      </c>
      <c r="E19">
        <v>45.2</v>
      </c>
      <c r="F19" s="12">
        <v>45744</v>
      </c>
      <c r="G19" s="12">
        <v>45757</v>
      </c>
      <c r="H19" t="s">
        <v>27</v>
      </c>
      <c r="I19" t="s">
        <v>40</v>
      </c>
      <c r="J19">
        <v>3</v>
      </c>
      <c r="K19" t="s">
        <v>19</v>
      </c>
      <c r="L19" t="s">
        <v>62</v>
      </c>
      <c r="M19">
        <v>13</v>
      </c>
      <c r="N19">
        <v>13</v>
      </c>
      <c r="O19" t="s">
        <v>2530</v>
      </c>
    </row>
    <row r="20" spans="1:15">
      <c r="A20" t="s">
        <v>2465</v>
      </c>
      <c r="B20" t="s">
        <v>26</v>
      </c>
      <c r="C20">
        <v>2</v>
      </c>
      <c r="D20">
        <v>124.1</v>
      </c>
      <c r="E20">
        <v>248.2</v>
      </c>
      <c r="F20" s="12">
        <v>45744</v>
      </c>
      <c r="G20" s="12">
        <v>45744</v>
      </c>
      <c r="H20" t="s">
        <v>27</v>
      </c>
      <c r="I20" t="s">
        <v>40</v>
      </c>
      <c r="J20">
        <v>1</v>
      </c>
      <c r="K20" t="s">
        <v>19</v>
      </c>
      <c r="L20" t="s">
        <v>545</v>
      </c>
      <c r="M20">
        <v>0</v>
      </c>
      <c r="N20">
        <v>13</v>
      </c>
      <c r="O20" t="s">
        <v>2530</v>
      </c>
    </row>
    <row r="21" spans="1:15">
      <c r="A21" t="s">
        <v>2459</v>
      </c>
      <c r="B21" t="s">
        <v>69</v>
      </c>
      <c r="C21">
        <v>2</v>
      </c>
      <c r="D21">
        <v>42.1</v>
      </c>
      <c r="E21">
        <v>84.2</v>
      </c>
      <c r="F21" s="12">
        <v>45744</v>
      </c>
      <c r="G21" s="12">
        <v>45745</v>
      </c>
      <c r="H21" t="s">
        <v>27</v>
      </c>
      <c r="I21" t="s">
        <v>70</v>
      </c>
      <c r="J21">
        <v>3</v>
      </c>
      <c r="K21" t="s">
        <v>19</v>
      </c>
      <c r="L21" t="s">
        <v>334</v>
      </c>
      <c r="M21">
        <v>1</v>
      </c>
      <c r="N21">
        <v>13</v>
      </c>
      <c r="O21" t="s">
        <v>2530</v>
      </c>
    </row>
    <row r="22" spans="1:15">
      <c r="A22" t="s">
        <v>2455</v>
      </c>
      <c r="B22" t="s">
        <v>22</v>
      </c>
      <c r="C22">
        <v>2</v>
      </c>
      <c r="D22">
        <v>71.8</v>
      </c>
      <c r="E22">
        <v>143.6</v>
      </c>
      <c r="F22" s="12">
        <v>45744</v>
      </c>
      <c r="G22" s="12">
        <v>45748</v>
      </c>
      <c r="H22" t="s">
        <v>27</v>
      </c>
      <c r="I22" t="s">
        <v>35</v>
      </c>
      <c r="J22">
        <v>4</v>
      </c>
      <c r="K22" t="s">
        <v>19</v>
      </c>
      <c r="L22" t="s">
        <v>24</v>
      </c>
      <c r="M22">
        <v>4</v>
      </c>
      <c r="N22">
        <v>13</v>
      </c>
      <c r="O22" t="s">
        <v>2530</v>
      </c>
    </row>
    <row r="23" spans="1:15">
      <c r="A23" t="s">
        <v>2444</v>
      </c>
      <c r="B23" t="s">
        <v>16</v>
      </c>
      <c r="C23">
        <v>2</v>
      </c>
      <c r="D23">
        <v>19.399999999999999</v>
      </c>
      <c r="E23">
        <v>38.799999999999997</v>
      </c>
      <c r="F23" s="12">
        <v>45743</v>
      </c>
      <c r="G23" s="12">
        <v>45745</v>
      </c>
      <c r="H23" t="s">
        <v>27</v>
      </c>
      <c r="I23" t="s">
        <v>35</v>
      </c>
      <c r="J23">
        <v>5</v>
      </c>
      <c r="K23" t="s">
        <v>19</v>
      </c>
      <c r="L23" t="s">
        <v>55</v>
      </c>
      <c r="M23">
        <v>2</v>
      </c>
      <c r="N23">
        <v>13</v>
      </c>
      <c r="O23" t="s">
        <v>2530</v>
      </c>
    </row>
    <row r="24" spans="1:15">
      <c r="A24" t="s">
        <v>2441</v>
      </c>
      <c r="B24" t="s">
        <v>37</v>
      </c>
      <c r="C24">
        <v>2</v>
      </c>
      <c r="D24">
        <v>61.6</v>
      </c>
      <c r="E24">
        <v>123.2</v>
      </c>
      <c r="F24" s="12">
        <v>45743</v>
      </c>
      <c r="G24" s="12">
        <v>45747</v>
      </c>
      <c r="H24" t="s">
        <v>23</v>
      </c>
      <c r="I24" t="s">
        <v>51</v>
      </c>
      <c r="J24">
        <v>3</v>
      </c>
      <c r="K24" t="s">
        <v>19</v>
      </c>
      <c r="L24" t="s">
        <v>33</v>
      </c>
      <c r="M24">
        <v>4</v>
      </c>
      <c r="N24">
        <v>13</v>
      </c>
      <c r="O24" t="s">
        <v>2531</v>
      </c>
    </row>
    <row r="25" spans="1:15">
      <c r="A25" t="s">
        <v>2440</v>
      </c>
      <c r="B25" t="s">
        <v>46</v>
      </c>
      <c r="C25">
        <v>2</v>
      </c>
      <c r="D25">
        <v>68.7</v>
      </c>
      <c r="E25">
        <v>137.4</v>
      </c>
      <c r="F25" s="12">
        <v>45743</v>
      </c>
      <c r="G25" s="12">
        <v>45743</v>
      </c>
      <c r="H25" t="s">
        <v>23</v>
      </c>
      <c r="I25" t="s">
        <v>18</v>
      </c>
      <c r="J25">
        <v>4</v>
      </c>
      <c r="K25" t="s">
        <v>19</v>
      </c>
      <c r="L25" t="s">
        <v>33</v>
      </c>
      <c r="M25">
        <v>0</v>
      </c>
      <c r="N25">
        <v>13</v>
      </c>
      <c r="O25" t="s">
        <v>2531</v>
      </c>
    </row>
    <row r="26" spans="1:15">
      <c r="A26" t="s">
        <v>2424</v>
      </c>
      <c r="B26" t="s">
        <v>44</v>
      </c>
      <c r="C26">
        <v>2</v>
      </c>
      <c r="D26">
        <v>30.2</v>
      </c>
      <c r="E26">
        <v>60.4</v>
      </c>
      <c r="F26" s="12">
        <v>45743</v>
      </c>
      <c r="G26" s="12">
        <v>45744</v>
      </c>
      <c r="H26" t="s">
        <v>27</v>
      </c>
      <c r="I26" t="s">
        <v>40</v>
      </c>
      <c r="J26">
        <v>5</v>
      </c>
      <c r="K26" t="s">
        <v>19</v>
      </c>
      <c r="L26" t="s">
        <v>55</v>
      </c>
      <c r="M26">
        <v>1</v>
      </c>
      <c r="N26">
        <v>13</v>
      </c>
      <c r="O26" t="s">
        <v>2530</v>
      </c>
    </row>
    <row r="27" spans="1:15">
      <c r="A27" t="s">
        <v>2421</v>
      </c>
      <c r="B27" t="s">
        <v>44</v>
      </c>
      <c r="C27">
        <v>2</v>
      </c>
      <c r="D27">
        <v>26</v>
      </c>
      <c r="E27">
        <v>52</v>
      </c>
      <c r="F27" s="12">
        <v>45743</v>
      </c>
      <c r="G27" s="12">
        <v>45743</v>
      </c>
      <c r="H27" t="s">
        <v>17</v>
      </c>
      <c r="I27" t="s">
        <v>18</v>
      </c>
      <c r="J27">
        <v>3</v>
      </c>
      <c r="K27" t="s">
        <v>19</v>
      </c>
      <c r="L27" t="s">
        <v>33</v>
      </c>
      <c r="M27">
        <v>0</v>
      </c>
      <c r="N27">
        <v>13</v>
      </c>
      <c r="O27" t="s">
        <v>2533</v>
      </c>
    </row>
    <row r="28" spans="1:15">
      <c r="A28" t="s">
        <v>2418</v>
      </c>
      <c r="B28" t="s">
        <v>22</v>
      </c>
      <c r="C28">
        <v>2</v>
      </c>
      <c r="D28">
        <v>92.4</v>
      </c>
      <c r="E28">
        <v>184.8</v>
      </c>
      <c r="F28" s="12">
        <v>45742</v>
      </c>
      <c r="G28" s="12">
        <v>45748</v>
      </c>
      <c r="H28" t="s">
        <v>27</v>
      </c>
      <c r="I28" t="s">
        <v>18</v>
      </c>
      <c r="J28">
        <v>5</v>
      </c>
      <c r="K28" t="s">
        <v>19</v>
      </c>
      <c r="L28" t="s">
        <v>33</v>
      </c>
      <c r="M28">
        <v>6</v>
      </c>
      <c r="N28">
        <v>13</v>
      </c>
      <c r="O28" t="s">
        <v>2530</v>
      </c>
    </row>
    <row r="29" spans="1:15">
      <c r="A29" t="s">
        <v>2411</v>
      </c>
      <c r="B29" t="s">
        <v>37</v>
      </c>
      <c r="C29">
        <v>2</v>
      </c>
      <c r="D29">
        <v>107.9</v>
      </c>
      <c r="E29">
        <v>215.8</v>
      </c>
      <c r="F29" s="12">
        <v>45742</v>
      </c>
      <c r="G29" s="12">
        <v>45742</v>
      </c>
      <c r="H29" t="s">
        <v>23</v>
      </c>
      <c r="I29" t="s">
        <v>35</v>
      </c>
      <c r="J29">
        <v>2</v>
      </c>
      <c r="K29" t="s">
        <v>19</v>
      </c>
      <c r="L29" t="s">
        <v>33</v>
      </c>
      <c r="M29">
        <v>0</v>
      </c>
      <c r="N29">
        <v>13</v>
      </c>
      <c r="O29" t="s">
        <v>2531</v>
      </c>
    </row>
    <row r="30" spans="1:15">
      <c r="A30" t="s">
        <v>2410</v>
      </c>
      <c r="B30" t="s">
        <v>30</v>
      </c>
      <c r="C30">
        <v>2</v>
      </c>
      <c r="D30">
        <v>34.200000000000003</v>
      </c>
      <c r="E30">
        <v>68.400000000000006</v>
      </c>
      <c r="F30" s="12">
        <v>45742</v>
      </c>
      <c r="G30" s="12">
        <v>45752</v>
      </c>
      <c r="H30" t="s">
        <v>17</v>
      </c>
      <c r="I30" t="s">
        <v>35</v>
      </c>
      <c r="J30">
        <v>4</v>
      </c>
      <c r="K30" t="s">
        <v>19</v>
      </c>
      <c r="L30" t="s">
        <v>33</v>
      </c>
      <c r="M30">
        <v>10</v>
      </c>
      <c r="N30">
        <v>13</v>
      </c>
      <c r="O30" t="s">
        <v>2533</v>
      </c>
    </row>
    <row r="31" spans="1:15">
      <c r="A31" t="s">
        <v>2409</v>
      </c>
      <c r="B31" t="s">
        <v>37</v>
      </c>
      <c r="C31">
        <v>2</v>
      </c>
      <c r="D31">
        <v>50.2</v>
      </c>
      <c r="E31">
        <v>100.4</v>
      </c>
      <c r="F31" s="12">
        <v>45742</v>
      </c>
      <c r="G31" s="12">
        <v>45744</v>
      </c>
      <c r="H31" t="s">
        <v>27</v>
      </c>
      <c r="I31" t="s">
        <v>35</v>
      </c>
      <c r="J31">
        <v>5</v>
      </c>
      <c r="K31" t="s">
        <v>19</v>
      </c>
      <c r="L31" t="s">
        <v>33</v>
      </c>
      <c r="M31">
        <v>2</v>
      </c>
      <c r="N31">
        <v>13</v>
      </c>
      <c r="O31" t="s">
        <v>2530</v>
      </c>
    </row>
    <row r="32" spans="1:15">
      <c r="A32" t="s">
        <v>2408</v>
      </c>
      <c r="B32" t="s">
        <v>46</v>
      </c>
      <c r="C32">
        <v>2</v>
      </c>
      <c r="D32">
        <v>72.900000000000006</v>
      </c>
      <c r="E32">
        <v>145.80000000000001</v>
      </c>
      <c r="F32" s="12">
        <v>45742</v>
      </c>
      <c r="G32" s="12">
        <v>45743</v>
      </c>
      <c r="H32" t="s">
        <v>23</v>
      </c>
      <c r="I32" t="s">
        <v>40</v>
      </c>
      <c r="J32">
        <v>3</v>
      </c>
      <c r="K32" t="s">
        <v>19</v>
      </c>
      <c r="L32" t="s">
        <v>33</v>
      </c>
      <c r="M32">
        <v>1</v>
      </c>
      <c r="N32">
        <v>13</v>
      </c>
      <c r="O32" t="s">
        <v>2531</v>
      </c>
    </row>
    <row r="33" spans="1:15">
      <c r="A33" t="s">
        <v>2407</v>
      </c>
      <c r="B33" t="s">
        <v>44</v>
      </c>
      <c r="C33">
        <v>2</v>
      </c>
      <c r="D33">
        <v>16.7</v>
      </c>
      <c r="E33">
        <v>33.4</v>
      </c>
      <c r="F33" s="12">
        <v>45742</v>
      </c>
      <c r="G33" s="12">
        <v>45746</v>
      </c>
      <c r="H33" t="s">
        <v>27</v>
      </c>
      <c r="I33" t="s">
        <v>18</v>
      </c>
      <c r="J33">
        <v>3</v>
      </c>
      <c r="K33" t="s">
        <v>19</v>
      </c>
      <c r="L33" t="s">
        <v>33</v>
      </c>
      <c r="M33">
        <v>4</v>
      </c>
      <c r="N33">
        <v>13</v>
      </c>
      <c r="O33" t="s">
        <v>2530</v>
      </c>
    </row>
    <row r="34" spans="1:15">
      <c r="A34" t="s">
        <v>2406</v>
      </c>
      <c r="B34" t="s">
        <v>26</v>
      </c>
      <c r="C34">
        <v>2</v>
      </c>
      <c r="D34">
        <v>83.9</v>
      </c>
      <c r="E34">
        <v>167.8</v>
      </c>
      <c r="F34" s="12">
        <v>45742</v>
      </c>
      <c r="G34" s="12">
        <v>45745</v>
      </c>
      <c r="H34" t="s">
        <v>27</v>
      </c>
      <c r="I34" t="s">
        <v>18</v>
      </c>
      <c r="J34">
        <v>4</v>
      </c>
      <c r="K34" t="s">
        <v>19</v>
      </c>
      <c r="L34" t="s">
        <v>33</v>
      </c>
      <c r="M34">
        <v>3</v>
      </c>
      <c r="N34">
        <v>13</v>
      </c>
      <c r="O34" t="s">
        <v>2530</v>
      </c>
    </row>
    <row r="35" spans="1:15">
      <c r="A35" t="s">
        <v>2403</v>
      </c>
      <c r="B35" t="s">
        <v>30</v>
      </c>
      <c r="C35">
        <v>2</v>
      </c>
      <c r="D35">
        <v>60.4</v>
      </c>
      <c r="E35">
        <v>120.8</v>
      </c>
      <c r="F35" s="12">
        <v>45742</v>
      </c>
      <c r="G35" s="12">
        <v>45743</v>
      </c>
      <c r="H35" t="s">
        <v>23</v>
      </c>
      <c r="I35" t="s">
        <v>40</v>
      </c>
      <c r="J35">
        <v>4</v>
      </c>
      <c r="K35" t="s">
        <v>19</v>
      </c>
      <c r="L35" t="s">
        <v>147</v>
      </c>
      <c r="M35">
        <v>1</v>
      </c>
      <c r="N35">
        <v>13</v>
      </c>
      <c r="O35" t="s">
        <v>2531</v>
      </c>
    </row>
    <row r="36" spans="1:15">
      <c r="A36" t="s">
        <v>90</v>
      </c>
      <c r="B36" t="s">
        <v>67</v>
      </c>
      <c r="C36">
        <v>2</v>
      </c>
      <c r="D36">
        <v>32</v>
      </c>
      <c r="E36">
        <v>64</v>
      </c>
      <c r="F36" s="12">
        <v>45658</v>
      </c>
      <c r="G36" s="12">
        <v>45661</v>
      </c>
      <c r="H36" t="s">
        <v>23</v>
      </c>
      <c r="I36" t="s">
        <v>18</v>
      </c>
      <c r="J36">
        <v>5</v>
      </c>
      <c r="K36" t="s">
        <v>19</v>
      </c>
      <c r="L36" t="s">
        <v>33</v>
      </c>
      <c r="M36">
        <v>3</v>
      </c>
      <c r="N36">
        <v>1</v>
      </c>
      <c r="O36" t="s">
        <v>2531</v>
      </c>
    </row>
    <row r="37" spans="1:15">
      <c r="A37" t="s">
        <v>91</v>
      </c>
      <c r="B37" t="s">
        <v>44</v>
      </c>
      <c r="C37">
        <v>2</v>
      </c>
      <c r="D37">
        <v>15.8</v>
      </c>
      <c r="E37">
        <v>31.6</v>
      </c>
      <c r="F37" s="12">
        <v>45658</v>
      </c>
      <c r="G37" s="12">
        <v>45659</v>
      </c>
      <c r="H37" t="s">
        <v>23</v>
      </c>
      <c r="I37" t="s">
        <v>70</v>
      </c>
      <c r="J37">
        <v>5</v>
      </c>
      <c r="K37" t="s">
        <v>19</v>
      </c>
      <c r="L37" t="s">
        <v>33</v>
      </c>
      <c r="M37">
        <v>1</v>
      </c>
      <c r="N37">
        <v>1</v>
      </c>
      <c r="O37" t="s">
        <v>2531</v>
      </c>
    </row>
    <row r="38" spans="1:15">
      <c r="A38" t="s">
        <v>2390</v>
      </c>
      <c r="B38" t="s">
        <v>42</v>
      </c>
      <c r="C38">
        <v>2</v>
      </c>
      <c r="D38">
        <v>44.5</v>
      </c>
      <c r="E38">
        <v>89</v>
      </c>
      <c r="F38" s="12">
        <v>45742</v>
      </c>
      <c r="G38" s="12">
        <v>45745</v>
      </c>
      <c r="H38" t="s">
        <v>23</v>
      </c>
      <c r="I38" t="s">
        <v>70</v>
      </c>
      <c r="J38">
        <v>4</v>
      </c>
      <c r="K38" t="s">
        <v>19</v>
      </c>
      <c r="L38" t="s">
        <v>72</v>
      </c>
      <c r="M38">
        <v>3</v>
      </c>
      <c r="N38">
        <v>13</v>
      </c>
      <c r="O38" t="s">
        <v>2531</v>
      </c>
    </row>
    <row r="39" spans="1:15">
      <c r="A39" t="s">
        <v>2383</v>
      </c>
      <c r="B39" t="s">
        <v>146</v>
      </c>
      <c r="C39">
        <v>2</v>
      </c>
      <c r="D39">
        <v>38.9</v>
      </c>
      <c r="E39">
        <v>77.8</v>
      </c>
      <c r="F39" s="12">
        <v>45741</v>
      </c>
      <c r="G39" s="12">
        <v>45742</v>
      </c>
      <c r="H39" t="s">
        <v>23</v>
      </c>
      <c r="I39" t="s">
        <v>40</v>
      </c>
      <c r="J39">
        <v>4</v>
      </c>
      <c r="K39" t="s">
        <v>19</v>
      </c>
      <c r="L39" t="s">
        <v>188</v>
      </c>
      <c r="M39">
        <v>1</v>
      </c>
      <c r="N39">
        <v>13</v>
      </c>
      <c r="O39" t="s">
        <v>2531</v>
      </c>
    </row>
    <row r="40" spans="1:15">
      <c r="A40" t="s">
        <v>2377</v>
      </c>
      <c r="B40" t="s">
        <v>16</v>
      </c>
      <c r="C40">
        <v>2</v>
      </c>
      <c r="D40">
        <v>26</v>
      </c>
      <c r="E40">
        <v>52</v>
      </c>
      <c r="F40" s="12">
        <v>45741</v>
      </c>
      <c r="G40" s="12">
        <v>45743</v>
      </c>
      <c r="H40" t="s">
        <v>23</v>
      </c>
      <c r="I40" t="s">
        <v>40</v>
      </c>
      <c r="J40">
        <v>3</v>
      </c>
      <c r="K40" t="s">
        <v>19</v>
      </c>
      <c r="L40" t="s">
        <v>33</v>
      </c>
      <c r="M40">
        <v>2</v>
      </c>
      <c r="N40">
        <v>13</v>
      </c>
      <c r="O40" t="s">
        <v>2531</v>
      </c>
    </row>
    <row r="41" spans="1:15">
      <c r="A41" t="s">
        <v>2370</v>
      </c>
      <c r="B41" t="s">
        <v>135</v>
      </c>
      <c r="C41">
        <v>2</v>
      </c>
      <c r="D41">
        <v>42.1</v>
      </c>
      <c r="E41">
        <v>84.2</v>
      </c>
      <c r="F41" s="12">
        <v>45741</v>
      </c>
      <c r="G41" s="12">
        <v>45742</v>
      </c>
      <c r="H41" t="s">
        <v>27</v>
      </c>
      <c r="I41" t="s">
        <v>51</v>
      </c>
      <c r="J41">
        <v>3</v>
      </c>
      <c r="K41" t="s">
        <v>19</v>
      </c>
      <c r="L41" t="s">
        <v>24</v>
      </c>
      <c r="M41">
        <v>1</v>
      </c>
      <c r="N41">
        <v>13</v>
      </c>
      <c r="O41" t="s">
        <v>2530</v>
      </c>
    </row>
    <row r="42" spans="1:15">
      <c r="A42" t="s">
        <v>2366</v>
      </c>
      <c r="B42" t="s">
        <v>39</v>
      </c>
      <c r="C42">
        <v>2</v>
      </c>
      <c r="D42">
        <v>61.5</v>
      </c>
      <c r="E42">
        <v>123</v>
      </c>
      <c r="F42" s="12">
        <v>45741</v>
      </c>
      <c r="G42" s="12">
        <v>45742</v>
      </c>
      <c r="H42" t="s">
        <v>23</v>
      </c>
      <c r="I42" t="s">
        <v>51</v>
      </c>
      <c r="J42">
        <v>4</v>
      </c>
      <c r="K42" t="s">
        <v>19</v>
      </c>
      <c r="L42" t="s">
        <v>292</v>
      </c>
      <c r="M42">
        <v>1</v>
      </c>
      <c r="N42">
        <v>13</v>
      </c>
      <c r="O42" t="s">
        <v>2531</v>
      </c>
    </row>
    <row r="43" spans="1:15">
      <c r="A43" t="s">
        <v>2365</v>
      </c>
      <c r="B43" t="s">
        <v>123</v>
      </c>
      <c r="C43">
        <v>2</v>
      </c>
      <c r="D43">
        <v>31.4</v>
      </c>
      <c r="E43">
        <v>62.8</v>
      </c>
      <c r="F43" s="12">
        <v>45741</v>
      </c>
      <c r="G43" s="12">
        <v>45742</v>
      </c>
      <c r="H43" t="s">
        <v>23</v>
      </c>
      <c r="I43" t="s">
        <v>18</v>
      </c>
      <c r="J43">
        <v>5</v>
      </c>
      <c r="K43" t="s">
        <v>19</v>
      </c>
      <c r="L43" t="s">
        <v>77</v>
      </c>
      <c r="M43">
        <v>1</v>
      </c>
      <c r="N43">
        <v>13</v>
      </c>
      <c r="O43" t="s">
        <v>2531</v>
      </c>
    </row>
    <row r="44" spans="1:15">
      <c r="A44" t="s">
        <v>99</v>
      </c>
      <c r="B44" t="s">
        <v>32</v>
      </c>
      <c r="C44">
        <v>2</v>
      </c>
      <c r="D44">
        <v>54.5</v>
      </c>
      <c r="E44">
        <v>109</v>
      </c>
      <c r="F44" s="12">
        <v>45659</v>
      </c>
      <c r="G44" s="12">
        <v>45661</v>
      </c>
      <c r="H44" t="s">
        <v>23</v>
      </c>
      <c r="I44" t="s">
        <v>35</v>
      </c>
      <c r="J44">
        <v>3</v>
      </c>
      <c r="K44" t="s">
        <v>19</v>
      </c>
      <c r="L44" t="s">
        <v>55</v>
      </c>
      <c r="M44">
        <v>2</v>
      </c>
      <c r="N44">
        <v>1</v>
      </c>
      <c r="O44" t="s">
        <v>2531</v>
      </c>
    </row>
    <row r="45" spans="1:15">
      <c r="A45" t="s">
        <v>2354</v>
      </c>
      <c r="B45" t="s">
        <v>22</v>
      </c>
      <c r="C45">
        <v>2</v>
      </c>
      <c r="D45">
        <v>39.1</v>
      </c>
      <c r="E45">
        <v>78.2</v>
      </c>
      <c r="F45" s="12">
        <v>45740</v>
      </c>
      <c r="G45" s="12">
        <v>45741</v>
      </c>
      <c r="H45" t="s">
        <v>23</v>
      </c>
      <c r="I45" t="s">
        <v>18</v>
      </c>
      <c r="J45">
        <v>3</v>
      </c>
      <c r="K45" t="s">
        <v>19</v>
      </c>
      <c r="L45" t="s">
        <v>186</v>
      </c>
      <c r="M45">
        <v>1</v>
      </c>
      <c r="N45">
        <v>13</v>
      </c>
      <c r="O45" t="s">
        <v>2531</v>
      </c>
    </row>
    <row r="46" spans="1:15">
      <c r="A46" t="s">
        <v>2350</v>
      </c>
      <c r="B46" t="s">
        <v>30</v>
      </c>
      <c r="C46">
        <v>2</v>
      </c>
      <c r="D46">
        <v>85.8</v>
      </c>
      <c r="E46">
        <v>171.6</v>
      </c>
      <c r="F46" s="12">
        <v>45740</v>
      </c>
      <c r="G46" s="12">
        <v>45741</v>
      </c>
      <c r="H46" t="s">
        <v>27</v>
      </c>
      <c r="I46" t="s">
        <v>35</v>
      </c>
      <c r="J46">
        <v>2</v>
      </c>
      <c r="K46" t="s">
        <v>19</v>
      </c>
      <c r="L46" t="s">
        <v>33</v>
      </c>
      <c r="M46">
        <v>1</v>
      </c>
      <c r="N46">
        <v>13</v>
      </c>
      <c r="O46" t="s">
        <v>2530</v>
      </c>
    </row>
    <row r="47" spans="1:15">
      <c r="A47" t="s">
        <v>2349</v>
      </c>
      <c r="B47" t="s">
        <v>26</v>
      </c>
      <c r="C47">
        <v>2</v>
      </c>
      <c r="D47">
        <v>125.3</v>
      </c>
      <c r="E47">
        <v>250.6</v>
      </c>
      <c r="F47" s="12">
        <v>45740</v>
      </c>
      <c r="G47" s="12">
        <v>45743</v>
      </c>
      <c r="H47" t="s">
        <v>27</v>
      </c>
      <c r="I47" t="s">
        <v>18</v>
      </c>
      <c r="J47">
        <v>5</v>
      </c>
      <c r="K47" t="s">
        <v>19</v>
      </c>
      <c r="L47" t="s">
        <v>33</v>
      </c>
      <c r="M47">
        <v>3</v>
      </c>
      <c r="N47">
        <v>13</v>
      </c>
      <c r="O47" t="s">
        <v>2530</v>
      </c>
    </row>
    <row r="48" spans="1:15">
      <c r="A48" t="s">
        <v>2346</v>
      </c>
      <c r="B48" t="s">
        <v>44</v>
      </c>
      <c r="C48">
        <v>2</v>
      </c>
      <c r="D48">
        <v>18.899999999999999</v>
      </c>
      <c r="E48">
        <v>37.799999999999997</v>
      </c>
      <c r="F48" s="12">
        <v>45740</v>
      </c>
      <c r="G48" s="12">
        <v>45742</v>
      </c>
      <c r="H48" t="s">
        <v>27</v>
      </c>
      <c r="I48" t="s">
        <v>70</v>
      </c>
      <c r="J48">
        <v>5</v>
      </c>
      <c r="K48" t="s">
        <v>19</v>
      </c>
      <c r="L48" t="s">
        <v>33</v>
      </c>
      <c r="M48">
        <v>2</v>
      </c>
      <c r="N48">
        <v>13</v>
      </c>
      <c r="O48" t="s">
        <v>2530</v>
      </c>
    </row>
    <row r="49" spans="1:15">
      <c r="A49" t="s">
        <v>2341</v>
      </c>
      <c r="B49" t="s">
        <v>32</v>
      </c>
      <c r="C49">
        <v>2</v>
      </c>
      <c r="D49">
        <v>27.2</v>
      </c>
      <c r="E49">
        <v>54.4</v>
      </c>
      <c r="F49" s="12">
        <v>45740</v>
      </c>
      <c r="G49" s="12">
        <v>45742</v>
      </c>
      <c r="H49" t="s">
        <v>23</v>
      </c>
      <c r="I49" t="s">
        <v>18</v>
      </c>
      <c r="J49">
        <v>5</v>
      </c>
      <c r="K49" t="s">
        <v>19</v>
      </c>
      <c r="L49" t="s">
        <v>24</v>
      </c>
      <c r="M49">
        <v>2</v>
      </c>
      <c r="N49">
        <v>13</v>
      </c>
      <c r="O49" t="s">
        <v>2531</v>
      </c>
    </row>
    <row r="50" spans="1:15">
      <c r="A50" t="s">
        <v>2338</v>
      </c>
      <c r="B50" t="s">
        <v>123</v>
      </c>
      <c r="C50">
        <v>2</v>
      </c>
      <c r="D50">
        <v>20.3</v>
      </c>
      <c r="E50">
        <v>40.6</v>
      </c>
      <c r="F50" s="12">
        <v>45740</v>
      </c>
      <c r="G50" s="12">
        <v>45742</v>
      </c>
      <c r="H50" t="s">
        <v>17</v>
      </c>
      <c r="I50" t="s">
        <v>35</v>
      </c>
      <c r="J50">
        <v>4</v>
      </c>
      <c r="K50" t="s">
        <v>19</v>
      </c>
      <c r="L50" t="s">
        <v>77</v>
      </c>
      <c r="M50">
        <v>2</v>
      </c>
      <c r="N50">
        <v>13</v>
      </c>
      <c r="O50" t="s">
        <v>2533</v>
      </c>
    </row>
    <row r="51" spans="1:15">
      <c r="A51" t="s">
        <v>2337</v>
      </c>
      <c r="B51" t="s">
        <v>39</v>
      </c>
      <c r="C51">
        <v>2</v>
      </c>
      <c r="D51">
        <v>45</v>
      </c>
      <c r="E51">
        <v>90</v>
      </c>
      <c r="F51" s="12">
        <v>45739</v>
      </c>
      <c r="G51" s="12">
        <v>45742</v>
      </c>
      <c r="H51" t="s">
        <v>27</v>
      </c>
      <c r="I51" t="s">
        <v>18</v>
      </c>
      <c r="J51">
        <v>4</v>
      </c>
      <c r="K51" t="s">
        <v>19</v>
      </c>
      <c r="L51" t="s">
        <v>74</v>
      </c>
      <c r="M51">
        <v>3</v>
      </c>
      <c r="N51">
        <v>13</v>
      </c>
      <c r="O51" t="s">
        <v>2530</v>
      </c>
    </row>
    <row r="52" spans="1:15">
      <c r="A52" t="s">
        <v>2330</v>
      </c>
      <c r="B52" t="s">
        <v>44</v>
      </c>
      <c r="C52">
        <v>2</v>
      </c>
      <c r="D52">
        <v>18.399999999999999</v>
      </c>
      <c r="E52">
        <v>36.799999999999997</v>
      </c>
      <c r="F52" s="12">
        <v>45739</v>
      </c>
      <c r="G52" s="12">
        <v>45740</v>
      </c>
      <c r="H52" t="s">
        <v>23</v>
      </c>
      <c r="I52" t="s">
        <v>18</v>
      </c>
      <c r="J52">
        <v>4</v>
      </c>
      <c r="K52" t="s">
        <v>19</v>
      </c>
      <c r="L52" t="s">
        <v>33</v>
      </c>
      <c r="M52">
        <v>1</v>
      </c>
      <c r="N52">
        <v>13</v>
      </c>
      <c r="O52" t="s">
        <v>2531</v>
      </c>
    </row>
    <row r="53" spans="1:15">
      <c r="A53" t="s">
        <v>111</v>
      </c>
      <c r="B53" t="s">
        <v>44</v>
      </c>
      <c r="C53">
        <v>2</v>
      </c>
      <c r="D53">
        <v>24.3</v>
      </c>
      <c r="E53">
        <v>48.6</v>
      </c>
      <c r="F53" s="12">
        <v>45659</v>
      </c>
      <c r="G53" s="12">
        <v>45662</v>
      </c>
      <c r="H53" t="s">
        <v>27</v>
      </c>
      <c r="I53" t="s">
        <v>35</v>
      </c>
      <c r="J53">
        <v>4</v>
      </c>
      <c r="K53" t="s">
        <v>19</v>
      </c>
      <c r="L53" t="s">
        <v>110</v>
      </c>
      <c r="M53">
        <v>3</v>
      </c>
      <c r="N53">
        <v>1</v>
      </c>
      <c r="O53" t="s">
        <v>2530</v>
      </c>
    </row>
    <row r="54" spans="1:15">
      <c r="A54" t="s">
        <v>2329</v>
      </c>
      <c r="B54" t="s">
        <v>26</v>
      </c>
      <c r="C54">
        <v>2</v>
      </c>
      <c r="D54">
        <v>154.4</v>
      </c>
      <c r="E54">
        <v>308.8</v>
      </c>
      <c r="F54" s="12">
        <v>45739</v>
      </c>
      <c r="G54" s="12">
        <v>45742</v>
      </c>
      <c r="H54" t="s">
        <v>23</v>
      </c>
      <c r="I54" t="s">
        <v>35</v>
      </c>
      <c r="J54">
        <v>3</v>
      </c>
      <c r="K54" t="s">
        <v>19</v>
      </c>
      <c r="L54" t="s">
        <v>33</v>
      </c>
      <c r="M54">
        <v>3</v>
      </c>
      <c r="N54">
        <v>13</v>
      </c>
      <c r="O54" t="s">
        <v>2531</v>
      </c>
    </row>
    <row r="55" spans="1:15">
      <c r="A55" t="s">
        <v>114</v>
      </c>
      <c r="B55" t="s">
        <v>16</v>
      </c>
      <c r="C55">
        <v>2</v>
      </c>
      <c r="D55">
        <v>18</v>
      </c>
      <c r="E55">
        <v>36</v>
      </c>
      <c r="F55" s="12">
        <v>45659</v>
      </c>
      <c r="G55" s="12">
        <v>45660</v>
      </c>
      <c r="H55" t="s">
        <v>27</v>
      </c>
      <c r="I55" t="s">
        <v>18</v>
      </c>
      <c r="J55">
        <v>5</v>
      </c>
      <c r="K55" t="s">
        <v>19</v>
      </c>
      <c r="L55" t="s">
        <v>115</v>
      </c>
      <c r="M55">
        <v>1</v>
      </c>
      <c r="N55">
        <v>1</v>
      </c>
      <c r="O55" t="s">
        <v>2530</v>
      </c>
    </row>
    <row r="56" spans="1:15">
      <c r="A56" t="s">
        <v>2321</v>
      </c>
      <c r="B56" t="s">
        <v>135</v>
      </c>
      <c r="C56">
        <v>2</v>
      </c>
      <c r="D56">
        <v>45.1</v>
      </c>
      <c r="E56">
        <v>90.2</v>
      </c>
      <c r="F56" s="12">
        <v>45739</v>
      </c>
      <c r="G56" s="12">
        <v>45740</v>
      </c>
      <c r="H56" t="s">
        <v>23</v>
      </c>
      <c r="I56" t="s">
        <v>35</v>
      </c>
      <c r="J56">
        <v>3</v>
      </c>
      <c r="K56" t="s">
        <v>19</v>
      </c>
      <c r="L56" t="s">
        <v>115</v>
      </c>
      <c r="M56">
        <v>1</v>
      </c>
      <c r="N56">
        <v>13</v>
      </c>
      <c r="O56" t="s">
        <v>2531</v>
      </c>
    </row>
    <row r="57" spans="1:15">
      <c r="A57" t="s">
        <v>2318</v>
      </c>
      <c r="B57" t="s">
        <v>44</v>
      </c>
      <c r="C57">
        <v>2</v>
      </c>
      <c r="D57">
        <v>35.4</v>
      </c>
      <c r="E57">
        <v>70.8</v>
      </c>
      <c r="F57" s="12">
        <v>45738</v>
      </c>
      <c r="G57" s="12">
        <v>45739</v>
      </c>
      <c r="H57" t="s">
        <v>27</v>
      </c>
      <c r="I57" t="s">
        <v>18</v>
      </c>
      <c r="J57">
        <v>4</v>
      </c>
      <c r="K57" t="s">
        <v>19</v>
      </c>
      <c r="L57" t="s">
        <v>103</v>
      </c>
      <c r="M57">
        <v>1</v>
      </c>
      <c r="N57">
        <v>12</v>
      </c>
      <c r="O57" t="s">
        <v>2530</v>
      </c>
    </row>
    <row r="58" spans="1:15">
      <c r="A58" t="s">
        <v>2311</v>
      </c>
      <c r="B58" t="s">
        <v>22</v>
      </c>
      <c r="C58">
        <v>2</v>
      </c>
      <c r="D58">
        <v>78.3</v>
      </c>
      <c r="E58">
        <v>156.6</v>
      </c>
      <c r="F58" s="12">
        <v>45738</v>
      </c>
      <c r="G58" s="12">
        <v>45740</v>
      </c>
      <c r="H58" t="s">
        <v>27</v>
      </c>
      <c r="I58" t="s">
        <v>35</v>
      </c>
      <c r="J58">
        <v>3</v>
      </c>
      <c r="K58" t="s">
        <v>19</v>
      </c>
      <c r="L58" t="s">
        <v>33</v>
      </c>
      <c r="M58">
        <v>2</v>
      </c>
      <c r="N58">
        <v>12</v>
      </c>
      <c r="O58" t="s">
        <v>2530</v>
      </c>
    </row>
    <row r="59" spans="1:15">
      <c r="A59" t="s">
        <v>2306</v>
      </c>
      <c r="B59" t="s">
        <v>81</v>
      </c>
      <c r="C59">
        <v>2</v>
      </c>
      <c r="D59">
        <v>21.3</v>
      </c>
      <c r="E59">
        <v>42.6</v>
      </c>
      <c r="F59" s="12">
        <v>45738</v>
      </c>
      <c r="G59" s="12">
        <v>45739</v>
      </c>
      <c r="H59" t="s">
        <v>23</v>
      </c>
      <c r="I59" t="s">
        <v>40</v>
      </c>
      <c r="J59">
        <v>4</v>
      </c>
      <c r="K59" t="s">
        <v>19</v>
      </c>
      <c r="L59" t="s">
        <v>113</v>
      </c>
      <c r="M59">
        <v>1</v>
      </c>
      <c r="N59">
        <v>12</v>
      </c>
      <c r="O59" t="s">
        <v>2531</v>
      </c>
    </row>
    <row r="60" spans="1:15">
      <c r="A60" t="s">
        <v>120</v>
      </c>
      <c r="B60" t="s">
        <v>42</v>
      </c>
      <c r="C60">
        <v>2</v>
      </c>
      <c r="D60">
        <v>64.2</v>
      </c>
      <c r="E60">
        <v>128.4</v>
      </c>
      <c r="F60" s="12">
        <v>45660</v>
      </c>
      <c r="G60" s="12">
        <v>45661</v>
      </c>
      <c r="H60" t="s">
        <v>23</v>
      </c>
      <c r="I60" t="s">
        <v>18</v>
      </c>
      <c r="J60">
        <v>5</v>
      </c>
      <c r="K60" t="s">
        <v>19</v>
      </c>
      <c r="L60" t="s">
        <v>33</v>
      </c>
      <c r="M60">
        <v>1</v>
      </c>
      <c r="N60">
        <v>1</v>
      </c>
      <c r="O60" t="s">
        <v>2531</v>
      </c>
    </row>
    <row r="61" spans="1:15">
      <c r="A61" t="s">
        <v>2301</v>
      </c>
      <c r="B61" t="s">
        <v>69</v>
      </c>
      <c r="C61">
        <v>2</v>
      </c>
      <c r="D61">
        <v>78.5</v>
      </c>
      <c r="E61">
        <v>157</v>
      </c>
      <c r="F61" s="12">
        <v>45738</v>
      </c>
      <c r="G61" s="12">
        <v>45739</v>
      </c>
      <c r="H61" t="s">
        <v>23</v>
      </c>
      <c r="I61" t="s">
        <v>40</v>
      </c>
      <c r="J61">
        <v>4</v>
      </c>
      <c r="K61" t="s">
        <v>19</v>
      </c>
      <c r="L61" t="s">
        <v>201</v>
      </c>
      <c r="M61">
        <v>1</v>
      </c>
      <c r="N61">
        <v>12</v>
      </c>
      <c r="O61" t="s">
        <v>2531</v>
      </c>
    </row>
    <row r="62" spans="1:15">
      <c r="A62" t="s">
        <v>122</v>
      </c>
      <c r="B62" t="s">
        <v>123</v>
      </c>
      <c r="C62">
        <v>2</v>
      </c>
      <c r="D62">
        <v>71.099999999999994</v>
      </c>
      <c r="E62">
        <v>142.19999999999999</v>
      </c>
      <c r="F62" s="12">
        <v>45660</v>
      </c>
      <c r="G62" s="12">
        <v>45662</v>
      </c>
      <c r="H62" t="s">
        <v>27</v>
      </c>
      <c r="I62" t="s">
        <v>51</v>
      </c>
      <c r="J62">
        <v>3</v>
      </c>
      <c r="K62" t="s">
        <v>19</v>
      </c>
      <c r="L62" t="s">
        <v>33</v>
      </c>
      <c r="M62">
        <v>2</v>
      </c>
      <c r="N62">
        <v>1</v>
      </c>
      <c r="O62" t="s">
        <v>2530</v>
      </c>
    </row>
    <row r="63" spans="1:15">
      <c r="A63" t="s">
        <v>124</v>
      </c>
      <c r="B63" t="s">
        <v>16</v>
      </c>
      <c r="C63">
        <v>2</v>
      </c>
      <c r="D63">
        <v>11.5</v>
      </c>
      <c r="E63">
        <v>23</v>
      </c>
      <c r="F63" s="12">
        <v>45660</v>
      </c>
      <c r="G63" s="12">
        <v>45661</v>
      </c>
      <c r="H63" t="s">
        <v>27</v>
      </c>
      <c r="I63" t="s">
        <v>18</v>
      </c>
      <c r="J63">
        <v>4</v>
      </c>
      <c r="K63" t="s">
        <v>19</v>
      </c>
      <c r="L63" t="s">
        <v>33</v>
      </c>
      <c r="M63">
        <v>1</v>
      </c>
      <c r="N63">
        <v>1</v>
      </c>
      <c r="O63" t="s">
        <v>2530</v>
      </c>
    </row>
    <row r="64" spans="1:15">
      <c r="A64" t="s">
        <v>2299</v>
      </c>
      <c r="B64" t="s">
        <v>22</v>
      </c>
      <c r="C64">
        <v>2</v>
      </c>
      <c r="D64">
        <v>64.2</v>
      </c>
      <c r="E64">
        <v>128.4</v>
      </c>
      <c r="F64" s="12">
        <v>45738</v>
      </c>
      <c r="G64" s="12">
        <v>45739</v>
      </c>
      <c r="H64" t="s">
        <v>27</v>
      </c>
      <c r="I64" t="s">
        <v>18</v>
      </c>
      <c r="J64">
        <v>3</v>
      </c>
      <c r="K64" t="s">
        <v>19</v>
      </c>
      <c r="L64" t="s">
        <v>103</v>
      </c>
      <c r="M64">
        <v>1</v>
      </c>
      <c r="N64">
        <v>12</v>
      </c>
      <c r="O64" t="s">
        <v>2530</v>
      </c>
    </row>
    <row r="65" spans="1:15">
      <c r="A65" t="s">
        <v>2294</v>
      </c>
      <c r="B65" t="s">
        <v>39</v>
      </c>
      <c r="C65">
        <v>2</v>
      </c>
      <c r="D65">
        <v>46.9</v>
      </c>
      <c r="E65">
        <v>93.8</v>
      </c>
      <c r="F65" s="12">
        <v>45737</v>
      </c>
      <c r="G65" s="12">
        <v>45744</v>
      </c>
      <c r="H65" t="s">
        <v>23</v>
      </c>
      <c r="I65" t="s">
        <v>18</v>
      </c>
      <c r="J65">
        <v>4</v>
      </c>
      <c r="K65" t="s">
        <v>19</v>
      </c>
      <c r="L65" t="s">
        <v>62</v>
      </c>
      <c r="M65">
        <v>7</v>
      </c>
      <c r="N65">
        <v>12</v>
      </c>
      <c r="O65" t="s">
        <v>2531</v>
      </c>
    </row>
    <row r="66" spans="1:15">
      <c r="A66" t="s">
        <v>2292</v>
      </c>
      <c r="B66" t="s">
        <v>22</v>
      </c>
      <c r="C66">
        <v>2</v>
      </c>
      <c r="D66">
        <v>38.200000000000003</v>
      </c>
      <c r="E66">
        <v>76.400000000000006</v>
      </c>
      <c r="F66" s="12">
        <v>45737</v>
      </c>
      <c r="G66" s="12">
        <v>45738</v>
      </c>
      <c r="H66" t="s">
        <v>23</v>
      </c>
      <c r="I66" t="s">
        <v>18</v>
      </c>
      <c r="J66">
        <v>4</v>
      </c>
      <c r="K66" t="s">
        <v>19</v>
      </c>
      <c r="L66" t="s">
        <v>52</v>
      </c>
      <c r="M66">
        <v>1</v>
      </c>
      <c r="N66">
        <v>12</v>
      </c>
      <c r="O66" t="s">
        <v>2531</v>
      </c>
    </row>
    <row r="67" spans="1:15">
      <c r="A67" t="s">
        <v>129</v>
      </c>
      <c r="B67" t="s">
        <v>69</v>
      </c>
      <c r="C67">
        <v>2</v>
      </c>
      <c r="D67">
        <v>113.2</v>
      </c>
      <c r="E67">
        <v>226.4</v>
      </c>
      <c r="F67" s="12">
        <v>45660</v>
      </c>
      <c r="G67" s="12">
        <v>45661</v>
      </c>
      <c r="H67" t="s">
        <v>27</v>
      </c>
      <c r="I67" t="s">
        <v>70</v>
      </c>
      <c r="J67">
        <v>4</v>
      </c>
      <c r="K67" t="s">
        <v>19</v>
      </c>
      <c r="L67" t="s">
        <v>33</v>
      </c>
      <c r="M67">
        <v>1</v>
      </c>
      <c r="N67">
        <v>1</v>
      </c>
      <c r="O67" t="s">
        <v>2530</v>
      </c>
    </row>
    <row r="68" spans="1:15">
      <c r="A68" t="s">
        <v>2291</v>
      </c>
      <c r="B68" t="s">
        <v>22</v>
      </c>
      <c r="C68">
        <v>2</v>
      </c>
      <c r="D68">
        <v>42.4</v>
      </c>
      <c r="E68">
        <v>84.8</v>
      </c>
      <c r="F68" s="12">
        <v>45737</v>
      </c>
      <c r="G68" s="12">
        <v>45738</v>
      </c>
      <c r="H68" t="s">
        <v>23</v>
      </c>
      <c r="I68" t="s">
        <v>35</v>
      </c>
      <c r="J68">
        <v>5</v>
      </c>
      <c r="K68" t="s">
        <v>19</v>
      </c>
      <c r="L68" t="s">
        <v>49</v>
      </c>
      <c r="M68">
        <v>1</v>
      </c>
      <c r="N68">
        <v>12</v>
      </c>
      <c r="O68" t="s">
        <v>2531</v>
      </c>
    </row>
    <row r="69" spans="1:15">
      <c r="A69" t="s">
        <v>131</v>
      </c>
      <c r="B69" t="s">
        <v>22</v>
      </c>
      <c r="C69">
        <v>2</v>
      </c>
      <c r="D69">
        <v>89.1</v>
      </c>
      <c r="E69">
        <v>178.2</v>
      </c>
      <c r="F69" s="12">
        <v>45660</v>
      </c>
      <c r="G69" s="12">
        <v>45661</v>
      </c>
      <c r="H69" t="s">
        <v>27</v>
      </c>
      <c r="I69" t="s">
        <v>40</v>
      </c>
      <c r="J69">
        <v>5</v>
      </c>
      <c r="K69" t="s">
        <v>19</v>
      </c>
      <c r="L69" t="s">
        <v>55</v>
      </c>
      <c r="M69">
        <v>1</v>
      </c>
      <c r="N69">
        <v>1</v>
      </c>
      <c r="O69" t="s">
        <v>2530</v>
      </c>
    </row>
    <row r="70" spans="1:15">
      <c r="A70" t="s">
        <v>2289</v>
      </c>
      <c r="B70" t="s">
        <v>67</v>
      </c>
      <c r="C70">
        <v>2</v>
      </c>
      <c r="D70">
        <v>51.2</v>
      </c>
      <c r="E70">
        <v>102.4</v>
      </c>
      <c r="F70" s="12">
        <v>45737</v>
      </c>
      <c r="G70" s="12">
        <v>45738</v>
      </c>
      <c r="H70" t="s">
        <v>27</v>
      </c>
      <c r="I70" t="s">
        <v>35</v>
      </c>
      <c r="J70">
        <v>5</v>
      </c>
      <c r="K70" t="s">
        <v>19</v>
      </c>
      <c r="L70" t="s">
        <v>33</v>
      </c>
      <c r="M70">
        <v>1</v>
      </c>
      <c r="N70">
        <v>12</v>
      </c>
      <c r="O70" t="s">
        <v>2530</v>
      </c>
    </row>
    <row r="71" spans="1:15">
      <c r="A71" t="s">
        <v>2283</v>
      </c>
      <c r="B71" t="s">
        <v>42</v>
      </c>
      <c r="C71">
        <v>2</v>
      </c>
      <c r="D71">
        <v>68</v>
      </c>
      <c r="E71">
        <v>136</v>
      </c>
      <c r="F71" s="12">
        <v>45737</v>
      </c>
      <c r="G71" s="12">
        <v>45747</v>
      </c>
      <c r="H71" t="s">
        <v>23</v>
      </c>
      <c r="I71" t="s">
        <v>40</v>
      </c>
      <c r="J71">
        <v>3</v>
      </c>
      <c r="K71" t="s">
        <v>19</v>
      </c>
      <c r="L71" t="s">
        <v>33</v>
      </c>
      <c r="M71">
        <v>10</v>
      </c>
      <c r="N71">
        <v>12</v>
      </c>
      <c r="O71" t="s">
        <v>2531</v>
      </c>
    </row>
    <row r="72" spans="1:15">
      <c r="A72" t="s">
        <v>2279</v>
      </c>
      <c r="B72" t="s">
        <v>81</v>
      </c>
      <c r="C72">
        <v>2</v>
      </c>
      <c r="D72">
        <v>25.6</v>
      </c>
      <c r="E72">
        <v>51.2</v>
      </c>
      <c r="F72" s="12">
        <v>45737</v>
      </c>
      <c r="G72" s="12">
        <v>45738</v>
      </c>
      <c r="H72" t="s">
        <v>27</v>
      </c>
      <c r="I72" t="s">
        <v>35</v>
      </c>
      <c r="J72">
        <v>3</v>
      </c>
      <c r="K72" t="s">
        <v>19</v>
      </c>
      <c r="L72" t="s">
        <v>33</v>
      </c>
      <c r="M72">
        <v>1</v>
      </c>
      <c r="N72">
        <v>12</v>
      </c>
      <c r="O72" t="s">
        <v>2530</v>
      </c>
    </row>
    <row r="73" spans="1:15">
      <c r="A73" t="s">
        <v>2276</v>
      </c>
      <c r="B73" t="s">
        <v>171</v>
      </c>
      <c r="C73">
        <v>2</v>
      </c>
      <c r="D73">
        <v>13.8</v>
      </c>
      <c r="E73">
        <v>27.6</v>
      </c>
      <c r="F73" s="12">
        <v>45737</v>
      </c>
      <c r="G73" s="12">
        <v>45738</v>
      </c>
      <c r="H73" t="s">
        <v>27</v>
      </c>
      <c r="I73" t="s">
        <v>70</v>
      </c>
      <c r="J73">
        <v>5</v>
      </c>
      <c r="K73" t="s">
        <v>19</v>
      </c>
      <c r="L73" t="s">
        <v>28</v>
      </c>
      <c r="M73">
        <v>1</v>
      </c>
      <c r="N73">
        <v>12</v>
      </c>
      <c r="O73" t="s">
        <v>2530</v>
      </c>
    </row>
    <row r="74" spans="1:15">
      <c r="A74" t="s">
        <v>2273</v>
      </c>
      <c r="B74" t="s">
        <v>26</v>
      </c>
      <c r="C74">
        <v>2</v>
      </c>
      <c r="D74">
        <v>61.3</v>
      </c>
      <c r="E74">
        <v>122.6</v>
      </c>
      <c r="F74" s="12">
        <v>45737</v>
      </c>
      <c r="G74" s="12">
        <v>45738</v>
      </c>
      <c r="H74" t="s">
        <v>27</v>
      </c>
      <c r="I74" t="s">
        <v>35</v>
      </c>
      <c r="J74">
        <v>3</v>
      </c>
      <c r="K74" t="s">
        <v>19</v>
      </c>
      <c r="L74" t="s">
        <v>115</v>
      </c>
      <c r="M74">
        <v>1</v>
      </c>
      <c r="N74">
        <v>12</v>
      </c>
      <c r="O74" t="s">
        <v>2530</v>
      </c>
    </row>
    <row r="75" spans="1:15">
      <c r="A75" t="s">
        <v>138</v>
      </c>
      <c r="B75" t="s">
        <v>16</v>
      </c>
      <c r="C75">
        <v>2</v>
      </c>
      <c r="D75">
        <v>17.899999999999999</v>
      </c>
      <c r="E75">
        <v>35.799999999999997</v>
      </c>
      <c r="F75" s="12">
        <v>45660</v>
      </c>
      <c r="G75" s="12">
        <v>45661</v>
      </c>
      <c r="H75" t="s">
        <v>27</v>
      </c>
      <c r="I75" t="s">
        <v>18</v>
      </c>
      <c r="J75">
        <v>5</v>
      </c>
      <c r="K75" t="s">
        <v>19</v>
      </c>
      <c r="L75" t="s">
        <v>72</v>
      </c>
      <c r="M75">
        <v>1</v>
      </c>
      <c r="N75">
        <v>1</v>
      </c>
      <c r="O75" t="s">
        <v>2530</v>
      </c>
    </row>
    <row r="76" spans="1:15">
      <c r="A76" t="s">
        <v>139</v>
      </c>
      <c r="B76" t="s">
        <v>46</v>
      </c>
      <c r="C76">
        <v>2</v>
      </c>
      <c r="D76">
        <v>48.4</v>
      </c>
      <c r="E76">
        <v>96.8</v>
      </c>
      <c r="F76" s="12">
        <v>45660</v>
      </c>
      <c r="G76" s="12">
        <v>45663</v>
      </c>
      <c r="H76" t="s">
        <v>23</v>
      </c>
      <c r="I76" t="s">
        <v>35</v>
      </c>
      <c r="J76">
        <v>4</v>
      </c>
      <c r="K76" t="s">
        <v>19</v>
      </c>
      <c r="L76" t="s">
        <v>72</v>
      </c>
      <c r="M76">
        <v>3</v>
      </c>
      <c r="N76">
        <v>1</v>
      </c>
      <c r="O76" t="s">
        <v>2531</v>
      </c>
    </row>
    <row r="77" spans="1:15">
      <c r="A77" t="s">
        <v>2272</v>
      </c>
      <c r="B77" t="s">
        <v>146</v>
      </c>
      <c r="C77">
        <v>2</v>
      </c>
      <c r="D77">
        <v>76.400000000000006</v>
      </c>
      <c r="E77">
        <v>152.80000000000001</v>
      </c>
      <c r="F77" s="12">
        <v>45737</v>
      </c>
      <c r="G77" s="12">
        <v>45737</v>
      </c>
      <c r="H77" t="s">
        <v>23</v>
      </c>
      <c r="I77" t="s">
        <v>51</v>
      </c>
      <c r="J77">
        <v>4</v>
      </c>
      <c r="K77" t="s">
        <v>19</v>
      </c>
      <c r="L77" t="s">
        <v>115</v>
      </c>
      <c r="M77">
        <v>0</v>
      </c>
      <c r="N77">
        <v>12</v>
      </c>
      <c r="O77" t="s">
        <v>2531</v>
      </c>
    </row>
    <row r="78" spans="1:15">
      <c r="A78" t="s">
        <v>2270</v>
      </c>
      <c r="B78" t="s">
        <v>39</v>
      </c>
      <c r="C78">
        <v>2</v>
      </c>
      <c r="D78">
        <v>80.400000000000006</v>
      </c>
      <c r="E78">
        <v>160.80000000000001</v>
      </c>
      <c r="F78" s="12">
        <v>45737</v>
      </c>
      <c r="G78" s="12">
        <v>45738</v>
      </c>
      <c r="H78" t="s">
        <v>27</v>
      </c>
      <c r="I78" t="s">
        <v>40</v>
      </c>
      <c r="J78">
        <v>4</v>
      </c>
      <c r="K78" t="s">
        <v>19</v>
      </c>
      <c r="L78" t="s">
        <v>82</v>
      </c>
      <c r="M78">
        <v>1</v>
      </c>
      <c r="N78">
        <v>12</v>
      </c>
      <c r="O78" t="s">
        <v>2530</v>
      </c>
    </row>
    <row r="79" spans="1:15">
      <c r="A79" t="s">
        <v>2261</v>
      </c>
      <c r="B79" t="s">
        <v>30</v>
      </c>
      <c r="C79">
        <v>2</v>
      </c>
      <c r="D79">
        <v>72.900000000000006</v>
      </c>
      <c r="E79">
        <v>145.80000000000001</v>
      </c>
      <c r="F79" s="12">
        <v>45736</v>
      </c>
      <c r="G79" s="12">
        <v>45739</v>
      </c>
      <c r="H79" t="s">
        <v>17</v>
      </c>
      <c r="I79" t="s">
        <v>18</v>
      </c>
      <c r="J79">
        <v>5</v>
      </c>
      <c r="K79" t="s">
        <v>19</v>
      </c>
      <c r="L79" t="s">
        <v>59</v>
      </c>
      <c r="M79">
        <v>3</v>
      </c>
      <c r="N79">
        <v>12</v>
      </c>
      <c r="O79" t="s">
        <v>2533</v>
      </c>
    </row>
    <row r="80" spans="1:15">
      <c r="A80" t="s">
        <v>2255</v>
      </c>
      <c r="B80" t="s">
        <v>76</v>
      </c>
      <c r="C80">
        <v>2</v>
      </c>
      <c r="D80">
        <v>28.5</v>
      </c>
      <c r="E80">
        <v>57</v>
      </c>
      <c r="F80" s="12">
        <v>45736</v>
      </c>
      <c r="G80" s="12">
        <v>45737</v>
      </c>
      <c r="H80" t="s">
        <v>27</v>
      </c>
      <c r="I80" t="s">
        <v>18</v>
      </c>
      <c r="J80">
        <v>5</v>
      </c>
      <c r="K80" t="s">
        <v>19</v>
      </c>
      <c r="L80" t="s">
        <v>49</v>
      </c>
      <c r="M80">
        <v>1</v>
      </c>
      <c r="N80">
        <v>12</v>
      </c>
      <c r="O80" t="s">
        <v>2530</v>
      </c>
    </row>
    <row r="81" spans="1:15">
      <c r="A81" t="s">
        <v>2254</v>
      </c>
      <c r="B81" t="s">
        <v>39</v>
      </c>
      <c r="C81">
        <v>2</v>
      </c>
      <c r="D81">
        <v>76.099999999999994</v>
      </c>
      <c r="E81">
        <v>152.19999999999999</v>
      </c>
      <c r="F81" s="12">
        <v>45736</v>
      </c>
      <c r="G81" s="12">
        <v>45736</v>
      </c>
      <c r="H81" t="s">
        <v>27</v>
      </c>
      <c r="I81" t="s">
        <v>70</v>
      </c>
      <c r="J81">
        <v>5</v>
      </c>
      <c r="K81" t="s">
        <v>19</v>
      </c>
      <c r="L81" t="s">
        <v>98</v>
      </c>
      <c r="M81">
        <v>0</v>
      </c>
      <c r="N81">
        <v>12</v>
      </c>
      <c r="O81" t="s">
        <v>2530</v>
      </c>
    </row>
    <row r="82" spans="1:15">
      <c r="A82" t="s">
        <v>2253</v>
      </c>
      <c r="B82" t="s">
        <v>44</v>
      </c>
      <c r="C82">
        <v>2</v>
      </c>
      <c r="D82">
        <v>41.7</v>
      </c>
      <c r="E82">
        <v>83.4</v>
      </c>
      <c r="F82" s="12">
        <v>45736</v>
      </c>
      <c r="G82" s="12">
        <v>45737</v>
      </c>
      <c r="H82" t="s">
        <v>27</v>
      </c>
      <c r="I82" t="s">
        <v>70</v>
      </c>
      <c r="J82">
        <v>3</v>
      </c>
      <c r="K82" t="s">
        <v>19</v>
      </c>
      <c r="L82" t="s">
        <v>545</v>
      </c>
      <c r="M82">
        <v>1</v>
      </c>
      <c r="N82">
        <v>12</v>
      </c>
      <c r="O82" t="s">
        <v>2530</v>
      </c>
    </row>
    <row r="83" spans="1:15">
      <c r="A83" t="s">
        <v>2251</v>
      </c>
      <c r="B83" t="s">
        <v>69</v>
      </c>
      <c r="C83">
        <v>2</v>
      </c>
      <c r="D83">
        <v>87.3</v>
      </c>
      <c r="E83">
        <v>174.6</v>
      </c>
      <c r="F83" s="12">
        <v>45736</v>
      </c>
      <c r="G83" s="12">
        <v>45744</v>
      </c>
      <c r="H83" t="s">
        <v>27</v>
      </c>
      <c r="I83" t="s">
        <v>51</v>
      </c>
      <c r="J83">
        <v>5</v>
      </c>
      <c r="K83" t="s">
        <v>19</v>
      </c>
      <c r="L83" t="s">
        <v>33</v>
      </c>
      <c r="M83">
        <v>8</v>
      </c>
      <c r="N83">
        <v>12</v>
      </c>
      <c r="O83" t="s">
        <v>2530</v>
      </c>
    </row>
    <row r="84" spans="1:15">
      <c r="A84" t="s">
        <v>2250</v>
      </c>
      <c r="B84" t="s">
        <v>22</v>
      </c>
      <c r="C84">
        <v>2</v>
      </c>
      <c r="D84">
        <v>76.599999999999994</v>
      </c>
      <c r="E84">
        <v>153.19999999999999</v>
      </c>
      <c r="F84" s="12">
        <v>45736</v>
      </c>
      <c r="G84" s="12">
        <v>45736</v>
      </c>
      <c r="H84" t="s">
        <v>23</v>
      </c>
      <c r="I84" t="s">
        <v>18</v>
      </c>
      <c r="J84">
        <v>5</v>
      </c>
      <c r="K84" t="s">
        <v>19</v>
      </c>
      <c r="L84" t="s">
        <v>33</v>
      </c>
      <c r="M84">
        <v>0</v>
      </c>
      <c r="N84">
        <v>12</v>
      </c>
      <c r="O84" t="s">
        <v>2531</v>
      </c>
    </row>
    <row r="85" spans="1:15">
      <c r="A85" t="s">
        <v>2243</v>
      </c>
      <c r="B85" t="s">
        <v>54</v>
      </c>
      <c r="C85">
        <v>2</v>
      </c>
      <c r="D85">
        <v>38.799999999999997</v>
      </c>
      <c r="E85">
        <v>77.599999999999994</v>
      </c>
      <c r="F85" s="12">
        <v>45736</v>
      </c>
      <c r="G85" s="12">
        <v>45737</v>
      </c>
      <c r="H85" t="s">
        <v>23</v>
      </c>
      <c r="I85" t="s">
        <v>70</v>
      </c>
      <c r="J85">
        <v>3</v>
      </c>
      <c r="K85" t="s">
        <v>19</v>
      </c>
      <c r="L85" t="s">
        <v>33</v>
      </c>
      <c r="M85">
        <v>1</v>
      </c>
      <c r="N85">
        <v>12</v>
      </c>
      <c r="O85" t="s">
        <v>2531</v>
      </c>
    </row>
    <row r="86" spans="1:15">
      <c r="A86" t="s">
        <v>2241</v>
      </c>
      <c r="B86" t="s">
        <v>44</v>
      </c>
      <c r="C86">
        <v>2</v>
      </c>
      <c r="D86">
        <v>18</v>
      </c>
      <c r="E86">
        <v>36</v>
      </c>
      <c r="F86" s="12">
        <v>45736</v>
      </c>
      <c r="G86" s="12">
        <v>45737</v>
      </c>
      <c r="H86" t="s">
        <v>27</v>
      </c>
      <c r="I86" t="s">
        <v>35</v>
      </c>
      <c r="J86">
        <v>5</v>
      </c>
      <c r="K86" t="s">
        <v>19</v>
      </c>
      <c r="L86" t="s">
        <v>1116</v>
      </c>
      <c r="M86">
        <v>1</v>
      </c>
      <c r="N86">
        <v>12</v>
      </c>
      <c r="O86" t="s">
        <v>2530</v>
      </c>
    </row>
    <row r="87" spans="1:15">
      <c r="A87" t="s">
        <v>2222</v>
      </c>
      <c r="B87" t="s">
        <v>46</v>
      </c>
      <c r="C87">
        <v>2</v>
      </c>
      <c r="D87">
        <v>63.2</v>
      </c>
      <c r="E87">
        <v>126.4</v>
      </c>
      <c r="F87" s="12">
        <v>45735</v>
      </c>
      <c r="G87" s="12">
        <v>45735</v>
      </c>
      <c r="H87" t="s">
        <v>23</v>
      </c>
      <c r="I87" t="s">
        <v>70</v>
      </c>
      <c r="J87">
        <v>3</v>
      </c>
      <c r="K87" t="s">
        <v>19</v>
      </c>
      <c r="L87" t="s">
        <v>33</v>
      </c>
      <c r="M87">
        <v>0</v>
      </c>
      <c r="N87">
        <v>12</v>
      </c>
      <c r="O87" t="s">
        <v>2531</v>
      </c>
    </row>
    <row r="88" spans="1:15">
      <c r="A88" t="s">
        <v>2220</v>
      </c>
      <c r="B88" t="s">
        <v>22</v>
      </c>
      <c r="C88">
        <v>2</v>
      </c>
      <c r="D88">
        <v>78.599999999999994</v>
      </c>
      <c r="E88">
        <v>157.19999999999999</v>
      </c>
      <c r="F88" s="12">
        <v>45735</v>
      </c>
      <c r="G88" s="12">
        <v>45736</v>
      </c>
      <c r="H88" t="s">
        <v>23</v>
      </c>
      <c r="I88" t="s">
        <v>40</v>
      </c>
      <c r="J88">
        <v>5</v>
      </c>
      <c r="K88" t="s">
        <v>19</v>
      </c>
      <c r="L88" t="s">
        <v>33</v>
      </c>
      <c r="M88">
        <v>1</v>
      </c>
      <c r="N88">
        <v>12</v>
      </c>
      <c r="O88" t="s">
        <v>2531</v>
      </c>
    </row>
    <row r="89" spans="1:15">
      <c r="A89" t="s">
        <v>2216</v>
      </c>
      <c r="B89" t="s">
        <v>42</v>
      </c>
      <c r="C89">
        <v>2</v>
      </c>
      <c r="D89">
        <v>38.799999999999997</v>
      </c>
      <c r="E89">
        <v>77.599999999999994</v>
      </c>
      <c r="F89" s="12">
        <v>45735</v>
      </c>
      <c r="G89" s="12">
        <v>45738</v>
      </c>
      <c r="H89" t="s">
        <v>27</v>
      </c>
      <c r="I89" t="s">
        <v>40</v>
      </c>
      <c r="J89">
        <v>4</v>
      </c>
      <c r="K89" t="s">
        <v>19</v>
      </c>
      <c r="L89" t="s">
        <v>33</v>
      </c>
      <c r="M89">
        <v>3</v>
      </c>
      <c r="N89">
        <v>12</v>
      </c>
      <c r="O89" t="s">
        <v>2530</v>
      </c>
    </row>
    <row r="90" spans="1:15">
      <c r="A90" t="s">
        <v>2195</v>
      </c>
      <c r="B90" t="s">
        <v>44</v>
      </c>
      <c r="C90">
        <v>2</v>
      </c>
      <c r="D90">
        <v>15.7</v>
      </c>
      <c r="E90">
        <v>31.4</v>
      </c>
      <c r="F90" s="12">
        <v>45734</v>
      </c>
      <c r="G90" s="12">
        <v>45737</v>
      </c>
      <c r="H90" t="s">
        <v>23</v>
      </c>
      <c r="I90" t="s">
        <v>35</v>
      </c>
      <c r="J90">
        <v>5</v>
      </c>
      <c r="K90" t="s">
        <v>19</v>
      </c>
      <c r="L90" t="s">
        <v>62</v>
      </c>
      <c r="M90">
        <v>3</v>
      </c>
      <c r="N90">
        <v>12</v>
      </c>
      <c r="O90" t="s">
        <v>2531</v>
      </c>
    </row>
    <row r="91" spans="1:15">
      <c r="A91" t="s">
        <v>2187</v>
      </c>
      <c r="B91" t="s">
        <v>37</v>
      </c>
      <c r="C91">
        <v>2</v>
      </c>
      <c r="D91">
        <v>85</v>
      </c>
      <c r="E91">
        <v>170</v>
      </c>
      <c r="F91" s="12">
        <v>45734</v>
      </c>
      <c r="G91" s="12">
        <v>45736</v>
      </c>
      <c r="H91" t="s">
        <v>27</v>
      </c>
      <c r="I91" t="s">
        <v>35</v>
      </c>
      <c r="J91">
        <v>4</v>
      </c>
      <c r="K91" t="s">
        <v>19</v>
      </c>
      <c r="L91" t="s">
        <v>59</v>
      </c>
      <c r="M91">
        <v>2</v>
      </c>
      <c r="N91">
        <v>12</v>
      </c>
      <c r="O91" t="s">
        <v>2530</v>
      </c>
    </row>
    <row r="92" spans="1:15">
      <c r="A92" t="s">
        <v>2180</v>
      </c>
      <c r="B92" t="s">
        <v>26</v>
      </c>
      <c r="C92">
        <v>2</v>
      </c>
      <c r="D92">
        <v>65.2</v>
      </c>
      <c r="E92">
        <v>130.4</v>
      </c>
      <c r="F92" s="12">
        <v>45734</v>
      </c>
      <c r="G92" s="12">
        <v>45735</v>
      </c>
      <c r="H92" t="s">
        <v>27</v>
      </c>
      <c r="I92" t="s">
        <v>35</v>
      </c>
      <c r="J92">
        <v>4</v>
      </c>
      <c r="K92" t="s">
        <v>19</v>
      </c>
      <c r="L92" t="s">
        <v>33</v>
      </c>
      <c r="M92">
        <v>1</v>
      </c>
      <c r="N92">
        <v>12</v>
      </c>
      <c r="O92" t="s">
        <v>2530</v>
      </c>
    </row>
    <row r="93" spans="1:15">
      <c r="A93" t="s">
        <v>2179</v>
      </c>
      <c r="B93" t="s">
        <v>128</v>
      </c>
      <c r="C93">
        <v>2</v>
      </c>
      <c r="D93">
        <v>32</v>
      </c>
      <c r="E93">
        <v>64</v>
      </c>
      <c r="F93" s="12">
        <v>45734</v>
      </c>
      <c r="G93" s="12">
        <v>45736</v>
      </c>
      <c r="H93" t="s">
        <v>23</v>
      </c>
      <c r="I93" t="s">
        <v>18</v>
      </c>
      <c r="J93">
        <v>3</v>
      </c>
      <c r="K93" t="s">
        <v>19</v>
      </c>
      <c r="L93" t="s">
        <v>33</v>
      </c>
      <c r="M93">
        <v>2</v>
      </c>
      <c r="N93">
        <v>12</v>
      </c>
      <c r="O93" t="s">
        <v>2531</v>
      </c>
    </row>
    <row r="94" spans="1:15">
      <c r="A94" t="s">
        <v>160</v>
      </c>
      <c r="B94" t="s">
        <v>67</v>
      </c>
      <c r="C94">
        <v>2</v>
      </c>
      <c r="D94">
        <v>50.4</v>
      </c>
      <c r="E94">
        <v>100.8</v>
      </c>
      <c r="F94" s="12">
        <v>45661</v>
      </c>
      <c r="G94" s="12">
        <v>45663</v>
      </c>
      <c r="H94" t="s">
        <v>23</v>
      </c>
      <c r="I94" t="s">
        <v>40</v>
      </c>
      <c r="J94">
        <v>5</v>
      </c>
      <c r="K94" t="s">
        <v>19</v>
      </c>
      <c r="L94" t="s">
        <v>55</v>
      </c>
      <c r="M94">
        <v>2</v>
      </c>
      <c r="N94">
        <v>1</v>
      </c>
      <c r="O94" t="s">
        <v>2531</v>
      </c>
    </row>
    <row r="95" spans="1:15">
      <c r="A95" t="s">
        <v>2178</v>
      </c>
      <c r="B95" t="s">
        <v>39</v>
      </c>
      <c r="C95">
        <v>2</v>
      </c>
      <c r="D95">
        <v>95</v>
      </c>
      <c r="E95">
        <v>190</v>
      </c>
      <c r="F95" s="12">
        <v>45734</v>
      </c>
      <c r="G95" s="12">
        <v>45736</v>
      </c>
      <c r="H95" t="s">
        <v>27</v>
      </c>
      <c r="I95" t="s">
        <v>18</v>
      </c>
      <c r="J95">
        <v>4</v>
      </c>
      <c r="K95" t="s">
        <v>19</v>
      </c>
      <c r="L95" t="s">
        <v>33</v>
      </c>
      <c r="M95">
        <v>2</v>
      </c>
      <c r="N95">
        <v>12</v>
      </c>
      <c r="O95" t="s">
        <v>2530</v>
      </c>
    </row>
    <row r="96" spans="1:15">
      <c r="A96" t="s">
        <v>2177</v>
      </c>
      <c r="B96" t="s">
        <v>69</v>
      </c>
      <c r="C96">
        <v>2</v>
      </c>
      <c r="D96">
        <v>85</v>
      </c>
      <c r="E96">
        <v>170</v>
      </c>
      <c r="F96" s="12">
        <v>45734</v>
      </c>
      <c r="G96" s="12">
        <v>45734</v>
      </c>
      <c r="H96" t="s">
        <v>23</v>
      </c>
      <c r="I96" t="s">
        <v>40</v>
      </c>
      <c r="J96">
        <v>5</v>
      </c>
      <c r="K96" t="s">
        <v>19</v>
      </c>
      <c r="L96" t="s">
        <v>33</v>
      </c>
      <c r="M96">
        <v>0</v>
      </c>
      <c r="N96">
        <v>12</v>
      </c>
      <c r="O96" t="s">
        <v>2531</v>
      </c>
    </row>
    <row r="97" spans="1:15">
      <c r="A97" t="s">
        <v>2176</v>
      </c>
      <c r="B97" t="s">
        <v>37</v>
      </c>
      <c r="C97">
        <v>2</v>
      </c>
      <c r="D97">
        <v>27.8</v>
      </c>
      <c r="E97">
        <v>55.6</v>
      </c>
      <c r="F97" s="12">
        <v>45734</v>
      </c>
      <c r="G97" s="12">
        <v>45736</v>
      </c>
      <c r="H97" t="s">
        <v>27</v>
      </c>
      <c r="I97" t="s">
        <v>18</v>
      </c>
      <c r="J97">
        <v>4</v>
      </c>
      <c r="K97" t="s">
        <v>19</v>
      </c>
      <c r="L97" t="s">
        <v>33</v>
      </c>
      <c r="M97">
        <v>2</v>
      </c>
      <c r="N97">
        <v>12</v>
      </c>
      <c r="O97" t="s">
        <v>2530</v>
      </c>
    </row>
    <row r="98" spans="1:15">
      <c r="A98" t="s">
        <v>2174</v>
      </c>
      <c r="B98" t="s">
        <v>44</v>
      </c>
      <c r="C98">
        <v>2</v>
      </c>
      <c r="D98">
        <v>57.5</v>
      </c>
      <c r="E98">
        <v>115</v>
      </c>
      <c r="F98" s="12">
        <v>45733</v>
      </c>
      <c r="G98" s="12">
        <v>45735</v>
      </c>
      <c r="H98" t="s">
        <v>23</v>
      </c>
      <c r="I98" t="s">
        <v>35</v>
      </c>
      <c r="J98">
        <v>5</v>
      </c>
      <c r="K98" t="s">
        <v>19</v>
      </c>
      <c r="L98" t="s">
        <v>33</v>
      </c>
      <c r="M98">
        <v>2</v>
      </c>
      <c r="N98">
        <v>12</v>
      </c>
      <c r="O98" t="s">
        <v>2531</v>
      </c>
    </row>
    <row r="99" spans="1:15">
      <c r="A99" t="s">
        <v>165</v>
      </c>
      <c r="B99" t="s">
        <v>46</v>
      </c>
      <c r="C99">
        <v>2</v>
      </c>
      <c r="D99">
        <v>50.5</v>
      </c>
      <c r="E99">
        <v>101</v>
      </c>
      <c r="F99" s="12">
        <v>45661</v>
      </c>
      <c r="G99" s="12">
        <v>45663</v>
      </c>
      <c r="H99" t="s">
        <v>23</v>
      </c>
      <c r="I99" t="s">
        <v>35</v>
      </c>
      <c r="J99">
        <v>4</v>
      </c>
      <c r="K99" t="s">
        <v>19</v>
      </c>
      <c r="L99" t="s">
        <v>147</v>
      </c>
      <c r="M99">
        <v>2</v>
      </c>
      <c r="N99">
        <v>1</v>
      </c>
      <c r="O99" t="s">
        <v>2531</v>
      </c>
    </row>
    <row r="100" spans="1:15">
      <c r="A100" t="s">
        <v>2171</v>
      </c>
      <c r="B100" t="s">
        <v>16</v>
      </c>
      <c r="C100">
        <v>2</v>
      </c>
      <c r="D100">
        <v>17</v>
      </c>
      <c r="E100">
        <v>34</v>
      </c>
      <c r="F100" s="12">
        <v>45733</v>
      </c>
      <c r="G100" s="12">
        <v>45735</v>
      </c>
      <c r="H100" t="s">
        <v>27</v>
      </c>
      <c r="I100" t="s">
        <v>40</v>
      </c>
      <c r="J100">
        <v>4</v>
      </c>
      <c r="K100" t="s">
        <v>19</v>
      </c>
      <c r="L100" t="s">
        <v>33</v>
      </c>
      <c r="M100">
        <v>2</v>
      </c>
      <c r="N100">
        <v>12</v>
      </c>
      <c r="O100" t="s">
        <v>2530</v>
      </c>
    </row>
    <row r="101" spans="1:15">
      <c r="A101" t="s">
        <v>2168</v>
      </c>
      <c r="B101" t="s">
        <v>44</v>
      </c>
      <c r="C101">
        <v>2</v>
      </c>
      <c r="D101">
        <v>15.8</v>
      </c>
      <c r="E101">
        <v>31.6</v>
      </c>
      <c r="F101" s="12">
        <v>45733</v>
      </c>
      <c r="G101" s="12">
        <v>45736</v>
      </c>
      <c r="H101" t="s">
        <v>27</v>
      </c>
      <c r="I101" t="s">
        <v>40</v>
      </c>
      <c r="J101">
        <v>3</v>
      </c>
      <c r="K101" t="s">
        <v>19</v>
      </c>
      <c r="L101" t="s">
        <v>24</v>
      </c>
      <c r="M101">
        <v>3</v>
      </c>
      <c r="N101">
        <v>12</v>
      </c>
      <c r="O101" t="s">
        <v>2530</v>
      </c>
    </row>
    <row r="102" spans="1:15">
      <c r="A102" t="s">
        <v>2167</v>
      </c>
      <c r="B102" t="s">
        <v>22</v>
      </c>
      <c r="C102">
        <v>2</v>
      </c>
      <c r="D102">
        <v>56.9</v>
      </c>
      <c r="E102">
        <v>113.8</v>
      </c>
      <c r="F102" s="12">
        <v>45733</v>
      </c>
      <c r="G102" s="12">
        <v>45734</v>
      </c>
      <c r="H102" t="s">
        <v>23</v>
      </c>
      <c r="I102" t="s">
        <v>40</v>
      </c>
      <c r="J102">
        <v>4</v>
      </c>
      <c r="K102" t="s">
        <v>19</v>
      </c>
      <c r="L102" t="s">
        <v>82</v>
      </c>
      <c r="M102">
        <v>1</v>
      </c>
      <c r="N102">
        <v>12</v>
      </c>
      <c r="O102" t="s">
        <v>2531</v>
      </c>
    </row>
    <row r="103" spans="1:15">
      <c r="A103" t="s">
        <v>169</v>
      </c>
      <c r="B103" t="s">
        <v>26</v>
      </c>
      <c r="C103">
        <v>2</v>
      </c>
      <c r="D103">
        <v>160</v>
      </c>
      <c r="E103">
        <v>320</v>
      </c>
      <c r="F103" s="12">
        <v>45662</v>
      </c>
      <c r="G103" s="12">
        <v>45663</v>
      </c>
      <c r="H103" t="s">
        <v>23</v>
      </c>
      <c r="I103" t="s">
        <v>40</v>
      </c>
      <c r="J103">
        <v>5</v>
      </c>
      <c r="K103" t="s">
        <v>19</v>
      </c>
      <c r="L103" t="s">
        <v>52</v>
      </c>
      <c r="M103">
        <v>1</v>
      </c>
      <c r="N103">
        <v>2</v>
      </c>
      <c r="O103" t="s">
        <v>2531</v>
      </c>
    </row>
    <row r="104" spans="1:15">
      <c r="A104" t="s">
        <v>2158</v>
      </c>
      <c r="B104" t="s">
        <v>26</v>
      </c>
      <c r="C104">
        <v>2</v>
      </c>
      <c r="D104">
        <v>66.7</v>
      </c>
      <c r="E104">
        <v>133.4</v>
      </c>
      <c r="F104" s="12">
        <v>45733</v>
      </c>
      <c r="G104" s="12">
        <v>45734</v>
      </c>
      <c r="H104" t="s">
        <v>27</v>
      </c>
      <c r="I104" t="s">
        <v>18</v>
      </c>
      <c r="J104">
        <v>5</v>
      </c>
      <c r="K104" t="s">
        <v>19</v>
      </c>
      <c r="L104" t="s">
        <v>62</v>
      </c>
      <c r="M104">
        <v>1</v>
      </c>
      <c r="N104">
        <v>12</v>
      </c>
      <c r="O104" t="s">
        <v>2530</v>
      </c>
    </row>
    <row r="105" spans="1:15">
      <c r="A105" t="s">
        <v>172</v>
      </c>
      <c r="B105" t="s">
        <v>54</v>
      </c>
      <c r="C105">
        <v>2</v>
      </c>
      <c r="D105">
        <v>53</v>
      </c>
      <c r="E105">
        <v>106</v>
      </c>
      <c r="F105" s="12">
        <v>45662</v>
      </c>
      <c r="G105" s="12">
        <v>45662</v>
      </c>
      <c r="H105" t="s">
        <v>23</v>
      </c>
      <c r="I105" t="s">
        <v>40</v>
      </c>
      <c r="J105">
        <v>2</v>
      </c>
      <c r="K105" t="s">
        <v>19</v>
      </c>
      <c r="L105" t="s">
        <v>103</v>
      </c>
      <c r="M105">
        <v>0</v>
      </c>
      <c r="N105">
        <v>2</v>
      </c>
      <c r="O105" t="s">
        <v>2531</v>
      </c>
    </row>
    <row r="106" spans="1:15">
      <c r="A106" t="s">
        <v>2153</v>
      </c>
      <c r="B106" t="s">
        <v>123</v>
      </c>
      <c r="C106">
        <v>2</v>
      </c>
      <c r="D106">
        <v>26.8</v>
      </c>
      <c r="E106">
        <v>53.6</v>
      </c>
      <c r="F106" s="12">
        <v>45733</v>
      </c>
      <c r="G106" s="12">
        <v>45734</v>
      </c>
      <c r="H106" t="s">
        <v>23</v>
      </c>
      <c r="I106" t="s">
        <v>18</v>
      </c>
      <c r="J106">
        <v>4</v>
      </c>
      <c r="K106" t="s">
        <v>19</v>
      </c>
      <c r="L106" t="s">
        <v>49</v>
      </c>
      <c r="M106">
        <v>1</v>
      </c>
      <c r="N106">
        <v>12</v>
      </c>
      <c r="O106" t="s">
        <v>2531</v>
      </c>
    </row>
    <row r="107" spans="1:15">
      <c r="A107" t="s">
        <v>2136</v>
      </c>
      <c r="B107" t="s">
        <v>44</v>
      </c>
      <c r="C107">
        <v>2</v>
      </c>
      <c r="D107">
        <v>32.5</v>
      </c>
      <c r="E107">
        <v>65</v>
      </c>
      <c r="F107" s="12">
        <v>45732</v>
      </c>
      <c r="G107" s="12">
        <v>45735</v>
      </c>
      <c r="H107" t="s">
        <v>27</v>
      </c>
      <c r="I107" t="s">
        <v>35</v>
      </c>
      <c r="J107">
        <v>4</v>
      </c>
      <c r="K107" t="s">
        <v>19</v>
      </c>
      <c r="L107" t="s">
        <v>115</v>
      </c>
      <c r="M107">
        <v>3</v>
      </c>
      <c r="N107">
        <v>12</v>
      </c>
      <c r="O107" t="s">
        <v>2530</v>
      </c>
    </row>
    <row r="108" spans="1:15">
      <c r="A108" t="s">
        <v>2135</v>
      </c>
      <c r="B108" t="s">
        <v>44</v>
      </c>
      <c r="C108">
        <v>2</v>
      </c>
      <c r="D108">
        <v>17.5</v>
      </c>
      <c r="E108">
        <v>35</v>
      </c>
      <c r="F108" s="12">
        <v>45732</v>
      </c>
      <c r="G108" s="12">
        <v>45735</v>
      </c>
      <c r="H108" t="s">
        <v>27</v>
      </c>
      <c r="I108" t="s">
        <v>18</v>
      </c>
      <c r="J108">
        <v>4</v>
      </c>
      <c r="K108" t="s">
        <v>19</v>
      </c>
      <c r="L108" t="s">
        <v>115</v>
      </c>
      <c r="M108">
        <v>3</v>
      </c>
      <c r="N108">
        <v>12</v>
      </c>
      <c r="O108" t="s">
        <v>2530</v>
      </c>
    </row>
    <row r="109" spans="1:15">
      <c r="A109" t="s">
        <v>2133</v>
      </c>
      <c r="B109" t="s">
        <v>44</v>
      </c>
      <c r="C109">
        <v>2</v>
      </c>
      <c r="D109">
        <v>33.6</v>
      </c>
      <c r="E109">
        <v>67.2</v>
      </c>
      <c r="F109" s="12">
        <v>45732</v>
      </c>
      <c r="G109" s="12">
        <v>45732</v>
      </c>
      <c r="H109" t="s">
        <v>23</v>
      </c>
      <c r="I109" t="s">
        <v>18</v>
      </c>
      <c r="J109">
        <v>3</v>
      </c>
      <c r="K109" t="s">
        <v>19</v>
      </c>
      <c r="L109" t="s">
        <v>110</v>
      </c>
      <c r="M109">
        <v>0</v>
      </c>
      <c r="N109">
        <v>12</v>
      </c>
      <c r="O109" t="s">
        <v>2531</v>
      </c>
    </row>
    <row r="110" spans="1:15">
      <c r="A110" t="s">
        <v>2128</v>
      </c>
      <c r="B110" t="s">
        <v>16</v>
      </c>
      <c r="C110">
        <v>2</v>
      </c>
      <c r="D110">
        <v>22.3</v>
      </c>
      <c r="E110">
        <v>44.6</v>
      </c>
      <c r="F110" s="12">
        <v>45732</v>
      </c>
      <c r="G110" s="12">
        <v>45734</v>
      </c>
      <c r="H110" t="s">
        <v>27</v>
      </c>
      <c r="I110" t="s">
        <v>35</v>
      </c>
      <c r="J110">
        <v>4</v>
      </c>
      <c r="K110" t="s">
        <v>19</v>
      </c>
      <c r="L110" t="s">
        <v>72</v>
      </c>
      <c r="M110">
        <v>2</v>
      </c>
      <c r="N110">
        <v>12</v>
      </c>
      <c r="O110" t="s">
        <v>2530</v>
      </c>
    </row>
    <row r="111" spans="1:15">
      <c r="A111" t="s">
        <v>2127</v>
      </c>
      <c r="B111" t="s">
        <v>54</v>
      </c>
      <c r="C111">
        <v>2</v>
      </c>
      <c r="D111">
        <v>35.200000000000003</v>
      </c>
      <c r="E111">
        <v>70.400000000000006</v>
      </c>
      <c r="F111" s="12">
        <v>45732</v>
      </c>
      <c r="G111" s="12">
        <v>45733</v>
      </c>
      <c r="H111" t="s">
        <v>23</v>
      </c>
      <c r="I111" t="s">
        <v>18</v>
      </c>
      <c r="J111">
        <v>5</v>
      </c>
      <c r="K111" t="s">
        <v>19</v>
      </c>
      <c r="L111" t="s">
        <v>103</v>
      </c>
      <c r="M111">
        <v>1</v>
      </c>
      <c r="N111">
        <v>12</v>
      </c>
      <c r="O111" t="s">
        <v>2531</v>
      </c>
    </row>
    <row r="112" spans="1:15">
      <c r="A112" t="s">
        <v>2126</v>
      </c>
      <c r="B112" t="s">
        <v>37</v>
      </c>
      <c r="C112">
        <v>2</v>
      </c>
      <c r="D112">
        <v>38.9</v>
      </c>
      <c r="E112">
        <v>77.8</v>
      </c>
      <c r="F112" s="12">
        <v>45732</v>
      </c>
      <c r="G112" s="12">
        <v>45733</v>
      </c>
      <c r="H112" t="s">
        <v>23</v>
      </c>
      <c r="I112" t="s">
        <v>70</v>
      </c>
      <c r="J112">
        <v>4</v>
      </c>
      <c r="K112" t="s">
        <v>19</v>
      </c>
      <c r="L112" t="s">
        <v>62</v>
      </c>
      <c r="M112">
        <v>1</v>
      </c>
      <c r="N112">
        <v>12</v>
      </c>
      <c r="O112" t="s">
        <v>2531</v>
      </c>
    </row>
    <row r="113" spans="1:15">
      <c r="A113" t="s">
        <v>2125</v>
      </c>
      <c r="B113" t="s">
        <v>22</v>
      </c>
      <c r="C113">
        <v>2</v>
      </c>
      <c r="D113">
        <v>37.1</v>
      </c>
      <c r="E113">
        <v>74.2</v>
      </c>
      <c r="F113" s="12">
        <v>45732</v>
      </c>
      <c r="G113" s="12">
        <v>45733</v>
      </c>
      <c r="H113" t="s">
        <v>27</v>
      </c>
      <c r="I113" t="s">
        <v>70</v>
      </c>
      <c r="J113">
        <v>4</v>
      </c>
      <c r="K113" t="s">
        <v>19</v>
      </c>
      <c r="L113" t="s">
        <v>62</v>
      </c>
      <c r="M113">
        <v>1</v>
      </c>
      <c r="N113">
        <v>12</v>
      </c>
      <c r="O113" t="s">
        <v>2530</v>
      </c>
    </row>
    <row r="114" spans="1:15">
      <c r="A114" t="s">
        <v>181</v>
      </c>
      <c r="B114" t="s">
        <v>42</v>
      </c>
      <c r="C114">
        <v>2</v>
      </c>
      <c r="D114">
        <v>37.299999999999997</v>
      </c>
      <c r="E114">
        <v>74.599999999999994</v>
      </c>
      <c r="F114" s="12">
        <v>45662</v>
      </c>
      <c r="G114" s="12">
        <v>45663</v>
      </c>
      <c r="H114" t="s">
        <v>23</v>
      </c>
      <c r="I114" t="s">
        <v>40</v>
      </c>
      <c r="J114">
        <v>4</v>
      </c>
      <c r="K114" t="s">
        <v>19</v>
      </c>
      <c r="L114" t="s">
        <v>33</v>
      </c>
      <c r="M114">
        <v>1</v>
      </c>
      <c r="N114">
        <v>2</v>
      </c>
      <c r="O114" t="s">
        <v>2531</v>
      </c>
    </row>
    <row r="115" spans="1:15">
      <c r="A115" t="s">
        <v>2118</v>
      </c>
      <c r="B115" t="s">
        <v>32</v>
      </c>
      <c r="C115">
        <v>2</v>
      </c>
      <c r="D115">
        <v>49.3</v>
      </c>
      <c r="E115">
        <v>98.6</v>
      </c>
      <c r="F115" s="12">
        <v>45732</v>
      </c>
      <c r="G115" s="12">
        <v>45734</v>
      </c>
      <c r="H115" t="s">
        <v>27</v>
      </c>
      <c r="I115" t="s">
        <v>70</v>
      </c>
      <c r="J115">
        <v>5</v>
      </c>
      <c r="K115" t="s">
        <v>19</v>
      </c>
      <c r="L115" t="s">
        <v>33</v>
      </c>
      <c r="M115">
        <v>2</v>
      </c>
      <c r="N115">
        <v>12</v>
      </c>
      <c r="O115" t="s">
        <v>2530</v>
      </c>
    </row>
    <row r="116" spans="1:15">
      <c r="A116" t="s">
        <v>183</v>
      </c>
      <c r="B116" t="s">
        <v>54</v>
      </c>
      <c r="C116">
        <v>2</v>
      </c>
      <c r="D116">
        <v>26.4</v>
      </c>
      <c r="E116">
        <v>52.8</v>
      </c>
      <c r="F116" s="12">
        <v>45662</v>
      </c>
      <c r="G116" s="12">
        <v>45665</v>
      </c>
      <c r="H116" t="s">
        <v>23</v>
      </c>
      <c r="I116" t="s">
        <v>40</v>
      </c>
      <c r="J116">
        <v>4</v>
      </c>
      <c r="K116" t="s">
        <v>19</v>
      </c>
      <c r="L116" t="s">
        <v>33</v>
      </c>
      <c r="M116">
        <v>3</v>
      </c>
      <c r="N116">
        <v>2</v>
      </c>
      <c r="O116" t="s">
        <v>2531</v>
      </c>
    </row>
    <row r="117" spans="1:15">
      <c r="A117" t="s">
        <v>2116</v>
      </c>
      <c r="B117" t="s">
        <v>123</v>
      </c>
      <c r="C117">
        <v>2</v>
      </c>
      <c r="D117">
        <v>33.6</v>
      </c>
      <c r="E117">
        <v>67.2</v>
      </c>
      <c r="F117" s="12">
        <v>45731</v>
      </c>
      <c r="G117" s="12">
        <v>45732</v>
      </c>
      <c r="H117" t="s">
        <v>23</v>
      </c>
      <c r="I117" t="s">
        <v>18</v>
      </c>
      <c r="J117">
        <v>5</v>
      </c>
      <c r="K117" t="s">
        <v>19</v>
      </c>
      <c r="L117" t="s">
        <v>33</v>
      </c>
      <c r="M117">
        <v>1</v>
      </c>
      <c r="N117">
        <v>11</v>
      </c>
      <c r="O117" t="s">
        <v>2531</v>
      </c>
    </row>
    <row r="118" spans="1:15">
      <c r="A118" t="s">
        <v>2114</v>
      </c>
      <c r="B118" t="s">
        <v>32</v>
      </c>
      <c r="C118">
        <v>2</v>
      </c>
      <c r="D118">
        <v>41.6</v>
      </c>
      <c r="E118">
        <v>83.2</v>
      </c>
      <c r="F118" s="12">
        <v>45731</v>
      </c>
      <c r="G118" s="12">
        <v>45733</v>
      </c>
      <c r="H118" t="s">
        <v>23</v>
      </c>
      <c r="I118" t="s">
        <v>70</v>
      </c>
      <c r="J118">
        <v>3</v>
      </c>
      <c r="K118" t="s">
        <v>19</v>
      </c>
      <c r="L118" t="s">
        <v>33</v>
      </c>
      <c r="M118">
        <v>2</v>
      </c>
      <c r="N118">
        <v>11</v>
      </c>
      <c r="O118" t="s">
        <v>2531</v>
      </c>
    </row>
    <row r="119" spans="1:15">
      <c r="A119" t="s">
        <v>2112</v>
      </c>
      <c r="B119" t="s">
        <v>67</v>
      </c>
      <c r="C119">
        <v>2</v>
      </c>
      <c r="D119">
        <v>41.4</v>
      </c>
      <c r="E119">
        <v>82.8</v>
      </c>
      <c r="F119" s="12">
        <v>45731</v>
      </c>
      <c r="G119" s="12">
        <v>45732</v>
      </c>
      <c r="H119" t="s">
        <v>27</v>
      </c>
      <c r="I119" t="s">
        <v>18</v>
      </c>
      <c r="J119">
        <v>5</v>
      </c>
      <c r="K119" t="s">
        <v>19</v>
      </c>
      <c r="L119" t="s">
        <v>33</v>
      </c>
      <c r="M119">
        <v>1</v>
      </c>
      <c r="N119">
        <v>11</v>
      </c>
      <c r="O119" t="s">
        <v>2530</v>
      </c>
    </row>
    <row r="120" spans="1:15">
      <c r="A120" t="s">
        <v>2107</v>
      </c>
      <c r="B120" t="s">
        <v>44</v>
      </c>
      <c r="C120">
        <v>2</v>
      </c>
      <c r="D120">
        <v>15.3</v>
      </c>
      <c r="E120">
        <v>30.6</v>
      </c>
      <c r="F120" s="12">
        <v>45731</v>
      </c>
      <c r="G120" s="12">
        <v>45734</v>
      </c>
      <c r="H120" t="s">
        <v>17</v>
      </c>
      <c r="I120" t="s">
        <v>40</v>
      </c>
      <c r="J120">
        <v>5</v>
      </c>
      <c r="K120" t="s">
        <v>19</v>
      </c>
      <c r="L120" t="s">
        <v>24</v>
      </c>
      <c r="M120">
        <v>3</v>
      </c>
      <c r="N120">
        <v>11</v>
      </c>
      <c r="O120" t="s">
        <v>2533</v>
      </c>
    </row>
    <row r="121" spans="1:15">
      <c r="A121" t="s">
        <v>2105</v>
      </c>
      <c r="B121" t="s">
        <v>46</v>
      </c>
      <c r="C121">
        <v>2</v>
      </c>
      <c r="D121">
        <v>21.1</v>
      </c>
      <c r="E121">
        <v>42.2</v>
      </c>
      <c r="F121" s="12">
        <v>45731</v>
      </c>
      <c r="G121" s="12">
        <v>45732</v>
      </c>
      <c r="H121" t="s">
        <v>17</v>
      </c>
      <c r="I121" t="s">
        <v>51</v>
      </c>
      <c r="J121">
        <v>3</v>
      </c>
      <c r="K121" t="s">
        <v>19</v>
      </c>
      <c r="L121" t="s">
        <v>115</v>
      </c>
      <c r="M121">
        <v>1</v>
      </c>
      <c r="N121">
        <v>11</v>
      </c>
      <c r="O121" t="s">
        <v>2533</v>
      </c>
    </row>
    <row r="122" spans="1:15">
      <c r="A122" t="s">
        <v>2096</v>
      </c>
      <c r="B122" t="s">
        <v>69</v>
      </c>
      <c r="C122">
        <v>2</v>
      </c>
      <c r="D122">
        <v>84.3</v>
      </c>
      <c r="E122">
        <v>168.6</v>
      </c>
      <c r="F122" s="12">
        <v>45731</v>
      </c>
      <c r="G122" s="12">
        <v>45734</v>
      </c>
      <c r="H122" t="s">
        <v>23</v>
      </c>
      <c r="I122" t="s">
        <v>70</v>
      </c>
      <c r="J122">
        <v>3</v>
      </c>
      <c r="K122" t="s">
        <v>19</v>
      </c>
      <c r="L122" t="s">
        <v>62</v>
      </c>
      <c r="M122">
        <v>3</v>
      </c>
      <c r="N122">
        <v>11</v>
      </c>
      <c r="O122" t="s">
        <v>2531</v>
      </c>
    </row>
    <row r="123" spans="1:15">
      <c r="A123" t="s">
        <v>2092</v>
      </c>
      <c r="B123" t="s">
        <v>22</v>
      </c>
      <c r="C123">
        <v>2</v>
      </c>
      <c r="D123">
        <v>62.4</v>
      </c>
      <c r="E123">
        <v>124.8</v>
      </c>
      <c r="F123" s="12">
        <v>45731</v>
      </c>
      <c r="G123" s="12">
        <v>45733</v>
      </c>
      <c r="H123" t="s">
        <v>17</v>
      </c>
      <c r="I123" t="s">
        <v>18</v>
      </c>
      <c r="J123">
        <v>3</v>
      </c>
      <c r="K123" t="s">
        <v>19</v>
      </c>
      <c r="L123" t="s">
        <v>62</v>
      </c>
      <c r="M123">
        <v>2</v>
      </c>
      <c r="N123">
        <v>11</v>
      </c>
      <c r="O123" t="s">
        <v>2533</v>
      </c>
    </row>
    <row r="124" spans="1:15">
      <c r="A124" t="s">
        <v>2090</v>
      </c>
      <c r="B124" t="s">
        <v>22</v>
      </c>
      <c r="C124">
        <v>2</v>
      </c>
      <c r="D124">
        <v>58.7</v>
      </c>
      <c r="E124">
        <v>117.4</v>
      </c>
      <c r="F124" s="12">
        <v>45731</v>
      </c>
      <c r="G124" s="12">
        <v>45734</v>
      </c>
      <c r="H124" t="s">
        <v>27</v>
      </c>
      <c r="I124" t="s">
        <v>18</v>
      </c>
      <c r="J124">
        <v>3</v>
      </c>
      <c r="K124" t="s">
        <v>19</v>
      </c>
      <c r="L124" t="s">
        <v>55</v>
      </c>
      <c r="M124">
        <v>3</v>
      </c>
      <c r="N124">
        <v>11</v>
      </c>
      <c r="O124" t="s">
        <v>2530</v>
      </c>
    </row>
    <row r="125" spans="1:15">
      <c r="A125" t="s">
        <v>194</v>
      </c>
      <c r="B125" t="s">
        <v>26</v>
      </c>
      <c r="C125">
        <v>2</v>
      </c>
      <c r="D125">
        <v>59.7</v>
      </c>
      <c r="E125">
        <v>119.4</v>
      </c>
      <c r="F125" s="12">
        <v>45662</v>
      </c>
      <c r="G125" s="12">
        <v>45663</v>
      </c>
      <c r="H125" t="s">
        <v>27</v>
      </c>
      <c r="I125" t="s">
        <v>18</v>
      </c>
      <c r="J125">
        <v>4</v>
      </c>
      <c r="K125" t="s">
        <v>19</v>
      </c>
      <c r="L125" t="s">
        <v>59</v>
      </c>
      <c r="M125">
        <v>1</v>
      </c>
      <c r="N125">
        <v>2</v>
      </c>
      <c r="O125" t="s">
        <v>2530</v>
      </c>
    </row>
    <row r="126" spans="1:15">
      <c r="A126" t="s">
        <v>2086</v>
      </c>
      <c r="B126" t="s">
        <v>22</v>
      </c>
      <c r="C126">
        <v>2</v>
      </c>
      <c r="D126">
        <v>36.700000000000003</v>
      </c>
      <c r="E126">
        <v>73.400000000000006</v>
      </c>
      <c r="F126" s="12">
        <v>45730</v>
      </c>
      <c r="G126" s="12">
        <v>45732</v>
      </c>
      <c r="H126" t="s">
        <v>27</v>
      </c>
      <c r="I126" t="s">
        <v>18</v>
      </c>
      <c r="J126">
        <v>5</v>
      </c>
      <c r="K126" t="s">
        <v>19</v>
      </c>
      <c r="L126" t="s">
        <v>33</v>
      </c>
      <c r="M126">
        <v>2</v>
      </c>
      <c r="N126">
        <v>11</v>
      </c>
      <c r="O126" t="s">
        <v>2530</v>
      </c>
    </row>
    <row r="127" spans="1:15">
      <c r="A127" t="s">
        <v>196</v>
      </c>
      <c r="B127" t="s">
        <v>42</v>
      </c>
      <c r="C127">
        <v>2</v>
      </c>
      <c r="D127">
        <v>87.6</v>
      </c>
      <c r="E127">
        <v>175.2</v>
      </c>
      <c r="F127" s="12">
        <v>45662</v>
      </c>
      <c r="G127" s="12">
        <v>45664</v>
      </c>
      <c r="H127" t="s">
        <v>23</v>
      </c>
      <c r="I127" t="s">
        <v>35</v>
      </c>
      <c r="J127">
        <v>3</v>
      </c>
      <c r="K127" t="s">
        <v>19</v>
      </c>
      <c r="L127" t="s">
        <v>62</v>
      </c>
      <c r="M127">
        <v>2</v>
      </c>
      <c r="N127">
        <v>2</v>
      </c>
      <c r="O127" t="s">
        <v>2531</v>
      </c>
    </row>
    <row r="128" spans="1:15">
      <c r="A128" t="s">
        <v>2084</v>
      </c>
      <c r="B128" t="s">
        <v>54</v>
      </c>
      <c r="C128">
        <v>2</v>
      </c>
      <c r="D128">
        <v>35.299999999999997</v>
      </c>
      <c r="E128">
        <v>70.599999999999994</v>
      </c>
      <c r="F128" s="12">
        <v>45730</v>
      </c>
      <c r="G128" s="12">
        <v>45734</v>
      </c>
      <c r="H128" t="s">
        <v>23</v>
      </c>
      <c r="I128" t="s">
        <v>18</v>
      </c>
      <c r="J128">
        <v>5</v>
      </c>
      <c r="K128" t="s">
        <v>19</v>
      </c>
      <c r="L128" t="s">
        <v>33</v>
      </c>
      <c r="M128">
        <v>4</v>
      </c>
      <c r="N128">
        <v>11</v>
      </c>
      <c r="O128" t="s">
        <v>2531</v>
      </c>
    </row>
    <row r="129" spans="1:15">
      <c r="A129" t="s">
        <v>198</v>
      </c>
      <c r="B129" t="s">
        <v>22</v>
      </c>
      <c r="C129">
        <v>2</v>
      </c>
      <c r="D129">
        <v>116.3</v>
      </c>
      <c r="E129">
        <v>232.6</v>
      </c>
      <c r="F129" s="12">
        <v>45663</v>
      </c>
      <c r="G129" s="12">
        <v>45665</v>
      </c>
      <c r="H129" t="s">
        <v>23</v>
      </c>
      <c r="I129" t="s">
        <v>40</v>
      </c>
      <c r="J129">
        <v>5</v>
      </c>
      <c r="K129" t="s">
        <v>19</v>
      </c>
      <c r="L129" t="s">
        <v>62</v>
      </c>
      <c r="M129">
        <v>2</v>
      </c>
      <c r="N129">
        <v>2</v>
      </c>
      <c r="O129" t="s">
        <v>2531</v>
      </c>
    </row>
    <row r="130" spans="1:15">
      <c r="A130" t="s">
        <v>2072</v>
      </c>
      <c r="B130" t="s">
        <v>44</v>
      </c>
      <c r="C130">
        <v>2</v>
      </c>
      <c r="D130">
        <v>36.9</v>
      </c>
      <c r="E130">
        <v>73.8</v>
      </c>
      <c r="F130" s="12">
        <v>45729</v>
      </c>
      <c r="G130" s="12">
        <v>45731</v>
      </c>
      <c r="H130" t="s">
        <v>27</v>
      </c>
      <c r="I130" t="s">
        <v>40</v>
      </c>
      <c r="J130">
        <v>2</v>
      </c>
      <c r="K130" t="s">
        <v>19</v>
      </c>
      <c r="L130" t="s">
        <v>967</v>
      </c>
      <c r="M130">
        <v>2</v>
      </c>
      <c r="N130">
        <v>11</v>
      </c>
      <c r="O130" t="s">
        <v>2530</v>
      </c>
    </row>
    <row r="131" spans="1:15">
      <c r="A131" t="s">
        <v>2065</v>
      </c>
      <c r="B131" t="s">
        <v>26</v>
      </c>
      <c r="C131">
        <v>2</v>
      </c>
      <c r="D131">
        <v>53.7</v>
      </c>
      <c r="E131">
        <v>107.4</v>
      </c>
      <c r="F131" s="12">
        <v>45729</v>
      </c>
      <c r="G131" s="12">
        <v>45730</v>
      </c>
      <c r="H131" t="s">
        <v>23</v>
      </c>
      <c r="I131" t="s">
        <v>40</v>
      </c>
      <c r="J131">
        <v>5</v>
      </c>
      <c r="K131" t="s">
        <v>19</v>
      </c>
      <c r="L131" t="s">
        <v>62</v>
      </c>
      <c r="M131">
        <v>1</v>
      </c>
      <c r="N131">
        <v>11</v>
      </c>
      <c r="O131" t="s">
        <v>2531</v>
      </c>
    </row>
    <row r="132" spans="1:15">
      <c r="A132" t="s">
        <v>2062</v>
      </c>
      <c r="B132" t="s">
        <v>39</v>
      </c>
      <c r="C132">
        <v>2</v>
      </c>
      <c r="D132">
        <v>152.19999999999999</v>
      </c>
      <c r="E132">
        <v>304.39999999999998</v>
      </c>
      <c r="F132" s="12">
        <v>45729</v>
      </c>
      <c r="G132" s="12">
        <v>45730</v>
      </c>
      <c r="H132" t="s">
        <v>23</v>
      </c>
      <c r="I132" t="s">
        <v>70</v>
      </c>
      <c r="J132">
        <v>3</v>
      </c>
      <c r="K132" t="s">
        <v>19</v>
      </c>
      <c r="L132" t="s">
        <v>188</v>
      </c>
      <c r="M132">
        <v>1</v>
      </c>
      <c r="N132">
        <v>11</v>
      </c>
      <c r="O132" t="s">
        <v>2531</v>
      </c>
    </row>
    <row r="133" spans="1:15">
      <c r="A133" t="s">
        <v>2057</v>
      </c>
      <c r="B133" t="s">
        <v>26</v>
      </c>
      <c r="C133">
        <v>2</v>
      </c>
      <c r="D133">
        <v>76.900000000000006</v>
      </c>
      <c r="E133">
        <v>153.80000000000001</v>
      </c>
      <c r="F133" s="12">
        <v>45729</v>
      </c>
      <c r="G133" s="12">
        <v>45733</v>
      </c>
      <c r="H133" t="s">
        <v>27</v>
      </c>
      <c r="I133" t="s">
        <v>18</v>
      </c>
      <c r="J133">
        <v>3</v>
      </c>
      <c r="K133" t="s">
        <v>19</v>
      </c>
      <c r="L133" t="s">
        <v>33</v>
      </c>
      <c r="M133">
        <v>4</v>
      </c>
      <c r="N133">
        <v>11</v>
      </c>
      <c r="O133" t="s">
        <v>2530</v>
      </c>
    </row>
    <row r="134" spans="1:15">
      <c r="A134" t="s">
        <v>2046</v>
      </c>
      <c r="B134" t="s">
        <v>26</v>
      </c>
      <c r="C134">
        <v>2</v>
      </c>
      <c r="D134">
        <v>75.599999999999994</v>
      </c>
      <c r="E134">
        <v>151.19999999999999</v>
      </c>
      <c r="F134" s="12">
        <v>45728</v>
      </c>
      <c r="G134" s="12">
        <v>45731</v>
      </c>
      <c r="H134" t="s">
        <v>23</v>
      </c>
      <c r="I134" t="s">
        <v>35</v>
      </c>
      <c r="J134">
        <v>4</v>
      </c>
      <c r="K134" t="s">
        <v>19</v>
      </c>
      <c r="L134" t="s">
        <v>62</v>
      </c>
      <c r="M134">
        <v>3</v>
      </c>
      <c r="N134">
        <v>11</v>
      </c>
      <c r="O134" t="s">
        <v>2531</v>
      </c>
    </row>
    <row r="135" spans="1:15">
      <c r="A135" t="s">
        <v>2044</v>
      </c>
      <c r="B135" t="s">
        <v>26</v>
      </c>
      <c r="C135">
        <v>2</v>
      </c>
      <c r="D135">
        <v>66.900000000000006</v>
      </c>
      <c r="E135">
        <v>133.80000000000001</v>
      </c>
      <c r="F135" s="12">
        <v>45728</v>
      </c>
      <c r="G135" s="12">
        <v>45734</v>
      </c>
      <c r="H135" t="s">
        <v>23</v>
      </c>
      <c r="I135" t="s">
        <v>35</v>
      </c>
      <c r="J135">
        <v>2</v>
      </c>
      <c r="K135" t="s">
        <v>19</v>
      </c>
      <c r="L135" t="s">
        <v>188</v>
      </c>
      <c r="M135">
        <v>6</v>
      </c>
      <c r="N135">
        <v>11</v>
      </c>
      <c r="O135" t="s">
        <v>2531</v>
      </c>
    </row>
    <row r="136" spans="1:15">
      <c r="A136" t="s">
        <v>2040</v>
      </c>
      <c r="B136" t="s">
        <v>16</v>
      </c>
      <c r="C136">
        <v>2</v>
      </c>
      <c r="D136">
        <v>20.2</v>
      </c>
      <c r="E136">
        <v>40.4</v>
      </c>
      <c r="F136" s="12">
        <v>45728</v>
      </c>
      <c r="G136" s="12">
        <v>45729</v>
      </c>
      <c r="H136" t="s">
        <v>23</v>
      </c>
      <c r="I136" t="s">
        <v>18</v>
      </c>
      <c r="J136">
        <v>3</v>
      </c>
      <c r="K136" t="s">
        <v>19</v>
      </c>
      <c r="L136" t="s">
        <v>33</v>
      </c>
      <c r="M136">
        <v>1</v>
      </c>
      <c r="N136">
        <v>11</v>
      </c>
      <c r="O136" t="s">
        <v>2531</v>
      </c>
    </row>
    <row r="137" spans="1:15">
      <c r="A137" t="s">
        <v>207</v>
      </c>
      <c r="B137" t="s">
        <v>67</v>
      </c>
      <c r="C137">
        <v>2</v>
      </c>
      <c r="D137">
        <v>48.8</v>
      </c>
      <c r="E137">
        <v>97.6</v>
      </c>
      <c r="F137" s="12">
        <v>45663</v>
      </c>
      <c r="G137" s="12">
        <v>45665</v>
      </c>
      <c r="H137" t="s">
        <v>27</v>
      </c>
      <c r="I137" t="s">
        <v>51</v>
      </c>
      <c r="J137">
        <v>4</v>
      </c>
      <c r="K137" t="s">
        <v>19</v>
      </c>
      <c r="L137" t="s">
        <v>208</v>
      </c>
      <c r="M137">
        <v>2</v>
      </c>
      <c r="N137">
        <v>2</v>
      </c>
      <c r="O137" t="s">
        <v>2530</v>
      </c>
    </row>
    <row r="138" spans="1:15">
      <c r="A138" t="s">
        <v>2031</v>
      </c>
      <c r="B138" t="s">
        <v>54</v>
      </c>
      <c r="C138">
        <v>2</v>
      </c>
      <c r="D138">
        <v>50.6</v>
      </c>
      <c r="E138">
        <v>101.2</v>
      </c>
      <c r="F138" s="12">
        <v>45728</v>
      </c>
      <c r="G138" s="12">
        <v>45731</v>
      </c>
      <c r="H138" t="s">
        <v>23</v>
      </c>
      <c r="I138" t="s">
        <v>40</v>
      </c>
      <c r="J138">
        <v>2</v>
      </c>
      <c r="K138" t="s">
        <v>19</v>
      </c>
      <c r="L138" t="s">
        <v>115</v>
      </c>
      <c r="M138">
        <v>3</v>
      </c>
      <c r="N138">
        <v>11</v>
      </c>
      <c r="O138" t="s">
        <v>2531</v>
      </c>
    </row>
    <row r="139" spans="1:15">
      <c r="A139" t="s">
        <v>2026</v>
      </c>
      <c r="B139" t="s">
        <v>146</v>
      </c>
      <c r="C139">
        <v>2</v>
      </c>
      <c r="D139">
        <v>46.4</v>
      </c>
      <c r="E139">
        <v>92.8</v>
      </c>
      <c r="F139" s="12">
        <v>45728</v>
      </c>
      <c r="G139" s="12">
        <v>45731</v>
      </c>
      <c r="H139" t="s">
        <v>27</v>
      </c>
      <c r="I139" t="s">
        <v>70</v>
      </c>
      <c r="J139">
        <v>4</v>
      </c>
      <c r="K139" t="s">
        <v>19</v>
      </c>
      <c r="L139" t="s">
        <v>77</v>
      </c>
      <c r="M139">
        <v>3</v>
      </c>
      <c r="N139">
        <v>11</v>
      </c>
      <c r="O139" t="s">
        <v>2530</v>
      </c>
    </row>
    <row r="140" spans="1:15">
      <c r="A140" t="s">
        <v>2023</v>
      </c>
      <c r="B140" t="s">
        <v>42</v>
      </c>
      <c r="C140">
        <v>2</v>
      </c>
      <c r="D140">
        <v>57.7</v>
      </c>
      <c r="E140">
        <v>115.4</v>
      </c>
      <c r="F140" s="12">
        <v>45728</v>
      </c>
      <c r="G140" s="12">
        <v>45730</v>
      </c>
      <c r="H140" t="s">
        <v>23</v>
      </c>
      <c r="I140" t="s">
        <v>70</v>
      </c>
      <c r="J140">
        <v>3</v>
      </c>
      <c r="K140" t="s">
        <v>19</v>
      </c>
      <c r="L140" t="s">
        <v>72</v>
      </c>
      <c r="M140">
        <v>2</v>
      </c>
      <c r="N140">
        <v>11</v>
      </c>
      <c r="O140" t="s">
        <v>2531</v>
      </c>
    </row>
    <row r="141" spans="1:15">
      <c r="A141" t="s">
        <v>2022</v>
      </c>
      <c r="B141" t="s">
        <v>37</v>
      </c>
      <c r="C141">
        <v>2</v>
      </c>
      <c r="D141">
        <v>55.7</v>
      </c>
      <c r="E141">
        <v>111.4</v>
      </c>
      <c r="F141" s="12">
        <v>45728</v>
      </c>
      <c r="G141" s="12">
        <v>45729</v>
      </c>
      <c r="H141" t="s">
        <v>23</v>
      </c>
      <c r="I141" t="s">
        <v>18</v>
      </c>
      <c r="J141">
        <v>3</v>
      </c>
      <c r="K141" t="s">
        <v>19</v>
      </c>
      <c r="L141" t="s">
        <v>201</v>
      </c>
      <c r="M141">
        <v>1</v>
      </c>
      <c r="N141">
        <v>11</v>
      </c>
      <c r="O141" t="s">
        <v>2531</v>
      </c>
    </row>
    <row r="142" spans="1:15">
      <c r="A142" t="s">
        <v>2017</v>
      </c>
      <c r="B142" t="s">
        <v>22</v>
      </c>
      <c r="C142">
        <v>2</v>
      </c>
      <c r="D142">
        <v>80.599999999999994</v>
      </c>
      <c r="E142">
        <v>161.19999999999999</v>
      </c>
      <c r="F142" s="12">
        <v>45727</v>
      </c>
      <c r="G142" s="12">
        <v>45727</v>
      </c>
      <c r="H142" t="s">
        <v>27</v>
      </c>
      <c r="I142" t="s">
        <v>35</v>
      </c>
      <c r="J142">
        <v>4</v>
      </c>
      <c r="K142" t="s">
        <v>19</v>
      </c>
      <c r="L142" t="s">
        <v>62</v>
      </c>
      <c r="M142">
        <v>0</v>
      </c>
      <c r="N142">
        <v>11</v>
      </c>
      <c r="O142" t="s">
        <v>2530</v>
      </c>
    </row>
    <row r="143" spans="1:15">
      <c r="A143" t="s">
        <v>2014</v>
      </c>
      <c r="B143" t="s">
        <v>39</v>
      </c>
      <c r="C143">
        <v>2</v>
      </c>
      <c r="D143">
        <v>108.8</v>
      </c>
      <c r="E143">
        <v>217.6</v>
      </c>
      <c r="F143" s="12">
        <v>45727</v>
      </c>
      <c r="G143" s="12">
        <v>45732</v>
      </c>
      <c r="H143" t="s">
        <v>23</v>
      </c>
      <c r="I143" t="s">
        <v>18</v>
      </c>
      <c r="J143">
        <v>5</v>
      </c>
      <c r="K143" t="s">
        <v>19</v>
      </c>
      <c r="L143" t="s">
        <v>55</v>
      </c>
      <c r="M143">
        <v>5</v>
      </c>
      <c r="N143">
        <v>11</v>
      </c>
      <c r="O143" t="s">
        <v>2531</v>
      </c>
    </row>
    <row r="144" spans="1:15">
      <c r="A144" t="s">
        <v>2008</v>
      </c>
      <c r="B144" t="s">
        <v>54</v>
      </c>
      <c r="C144">
        <v>2</v>
      </c>
      <c r="D144">
        <v>49.4</v>
      </c>
      <c r="E144">
        <v>98.8</v>
      </c>
      <c r="F144" s="12">
        <v>45727</v>
      </c>
      <c r="G144" s="12">
        <v>45729</v>
      </c>
      <c r="H144" t="s">
        <v>23</v>
      </c>
      <c r="I144" t="s">
        <v>35</v>
      </c>
      <c r="J144">
        <v>4</v>
      </c>
      <c r="K144" t="s">
        <v>19</v>
      </c>
      <c r="L144" t="s">
        <v>33</v>
      </c>
      <c r="M144">
        <v>2</v>
      </c>
      <c r="N144">
        <v>11</v>
      </c>
      <c r="O144" t="s">
        <v>2531</v>
      </c>
    </row>
    <row r="145" spans="1:15">
      <c r="A145" t="s">
        <v>216</v>
      </c>
      <c r="B145" t="s">
        <v>32</v>
      </c>
      <c r="C145">
        <v>2</v>
      </c>
      <c r="D145">
        <v>47.8</v>
      </c>
      <c r="E145">
        <v>95.6</v>
      </c>
      <c r="F145" s="12">
        <v>45663</v>
      </c>
      <c r="G145" s="12">
        <v>45664</v>
      </c>
      <c r="H145" t="s">
        <v>17</v>
      </c>
      <c r="I145" t="s">
        <v>18</v>
      </c>
      <c r="J145">
        <v>4</v>
      </c>
      <c r="K145" t="s">
        <v>19</v>
      </c>
      <c r="L145" t="s">
        <v>33</v>
      </c>
      <c r="M145">
        <v>1</v>
      </c>
      <c r="N145">
        <v>2</v>
      </c>
      <c r="O145" t="s">
        <v>2533</v>
      </c>
    </row>
    <row r="146" spans="1:15">
      <c r="A146" t="s">
        <v>2007</v>
      </c>
      <c r="B146" t="s">
        <v>46</v>
      </c>
      <c r="C146">
        <v>2</v>
      </c>
      <c r="D146">
        <v>40.1</v>
      </c>
      <c r="E146">
        <v>80.2</v>
      </c>
      <c r="F146" s="12">
        <v>45727</v>
      </c>
      <c r="G146" s="12">
        <v>45730</v>
      </c>
      <c r="H146" t="s">
        <v>23</v>
      </c>
      <c r="I146" t="s">
        <v>35</v>
      </c>
      <c r="J146">
        <v>5</v>
      </c>
      <c r="K146" t="s">
        <v>19</v>
      </c>
      <c r="L146" t="s">
        <v>33</v>
      </c>
      <c r="M146">
        <v>3</v>
      </c>
      <c r="N146">
        <v>11</v>
      </c>
      <c r="O146" t="s">
        <v>2531</v>
      </c>
    </row>
    <row r="147" spans="1:15">
      <c r="A147" t="s">
        <v>2004</v>
      </c>
      <c r="B147" t="s">
        <v>26</v>
      </c>
      <c r="C147">
        <v>2</v>
      </c>
      <c r="D147">
        <v>97.3</v>
      </c>
      <c r="E147">
        <v>194.6</v>
      </c>
      <c r="F147" s="12">
        <v>45727</v>
      </c>
      <c r="G147" s="12">
        <v>45728</v>
      </c>
      <c r="H147" t="s">
        <v>23</v>
      </c>
      <c r="I147" t="s">
        <v>40</v>
      </c>
      <c r="J147">
        <v>2</v>
      </c>
      <c r="K147" t="s">
        <v>19</v>
      </c>
      <c r="L147" t="s">
        <v>33</v>
      </c>
      <c r="M147">
        <v>1</v>
      </c>
      <c r="N147">
        <v>11</v>
      </c>
      <c r="O147" t="s">
        <v>2531</v>
      </c>
    </row>
    <row r="148" spans="1:15">
      <c r="A148" t="s">
        <v>1996</v>
      </c>
      <c r="B148" t="s">
        <v>39</v>
      </c>
      <c r="C148">
        <v>2</v>
      </c>
      <c r="D148">
        <v>47.1</v>
      </c>
      <c r="E148">
        <v>94.2</v>
      </c>
      <c r="F148" s="12">
        <v>45727</v>
      </c>
      <c r="G148" s="12">
        <v>45729</v>
      </c>
      <c r="H148" t="s">
        <v>27</v>
      </c>
      <c r="I148" t="s">
        <v>18</v>
      </c>
      <c r="J148">
        <v>2</v>
      </c>
      <c r="K148" t="s">
        <v>19</v>
      </c>
      <c r="L148" t="s">
        <v>113</v>
      </c>
      <c r="M148">
        <v>2</v>
      </c>
      <c r="N148">
        <v>11</v>
      </c>
      <c r="O148" t="s">
        <v>2530</v>
      </c>
    </row>
    <row r="149" spans="1:15">
      <c r="A149" t="s">
        <v>1995</v>
      </c>
      <c r="B149" t="s">
        <v>46</v>
      </c>
      <c r="C149">
        <v>2</v>
      </c>
      <c r="D149">
        <v>57.2</v>
      </c>
      <c r="E149">
        <v>114.4</v>
      </c>
      <c r="F149" s="12">
        <v>45727</v>
      </c>
      <c r="G149" s="12">
        <v>45729</v>
      </c>
      <c r="H149" t="s">
        <v>23</v>
      </c>
      <c r="I149" t="s">
        <v>40</v>
      </c>
      <c r="J149">
        <v>3</v>
      </c>
      <c r="K149" t="s">
        <v>19</v>
      </c>
      <c r="L149" t="s">
        <v>113</v>
      </c>
      <c r="M149">
        <v>2</v>
      </c>
      <c r="N149">
        <v>11</v>
      </c>
      <c r="O149" t="s">
        <v>2531</v>
      </c>
    </row>
    <row r="150" spans="1:15">
      <c r="A150" t="s">
        <v>1993</v>
      </c>
      <c r="B150" t="s">
        <v>54</v>
      </c>
      <c r="C150">
        <v>2</v>
      </c>
      <c r="D150">
        <v>37</v>
      </c>
      <c r="E150">
        <v>74</v>
      </c>
      <c r="F150" s="12">
        <v>45727</v>
      </c>
      <c r="G150" s="12">
        <v>45733</v>
      </c>
      <c r="H150" t="s">
        <v>23</v>
      </c>
      <c r="I150" t="s">
        <v>18</v>
      </c>
      <c r="J150">
        <v>4</v>
      </c>
      <c r="K150" t="s">
        <v>19</v>
      </c>
      <c r="L150" t="s">
        <v>77</v>
      </c>
      <c r="M150">
        <v>6</v>
      </c>
      <c r="N150">
        <v>11</v>
      </c>
      <c r="O150" t="s">
        <v>2531</v>
      </c>
    </row>
    <row r="151" spans="1:15">
      <c r="A151" t="s">
        <v>1977</v>
      </c>
      <c r="B151" t="s">
        <v>26</v>
      </c>
      <c r="C151">
        <v>2</v>
      </c>
      <c r="D151">
        <v>58.8</v>
      </c>
      <c r="E151">
        <v>117.6</v>
      </c>
      <c r="F151" s="12">
        <v>45726</v>
      </c>
      <c r="G151" s="12">
        <v>45731</v>
      </c>
      <c r="H151" t="s">
        <v>27</v>
      </c>
      <c r="I151" t="s">
        <v>35</v>
      </c>
      <c r="J151">
        <v>5</v>
      </c>
      <c r="K151" t="s">
        <v>19</v>
      </c>
      <c r="L151" t="s">
        <v>55</v>
      </c>
      <c r="M151">
        <v>5</v>
      </c>
      <c r="N151">
        <v>11</v>
      </c>
      <c r="O151" t="s">
        <v>2530</v>
      </c>
    </row>
    <row r="152" spans="1:15">
      <c r="A152" t="s">
        <v>1973</v>
      </c>
      <c r="B152" t="s">
        <v>16</v>
      </c>
      <c r="C152">
        <v>2</v>
      </c>
      <c r="D152">
        <v>27.6</v>
      </c>
      <c r="E152">
        <v>55.2</v>
      </c>
      <c r="F152" s="12">
        <v>45726</v>
      </c>
      <c r="G152" s="12">
        <v>45728</v>
      </c>
      <c r="H152" t="s">
        <v>23</v>
      </c>
      <c r="I152" t="s">
        <v>18</v>
      </c>
      <c r="J152">
        <v>5</v>
      </c>
      <c r="K152" t="s">
        <v>19</v>
      </c>
      <c r="L152" t="s">
        <v>364</v>
      </c>
      <c r="M152">
        <v>2</v>
      </c>
      <c r="N152">
        <v>11</v>
      </c>
      <c r="O152" t="s">
        <v>2531</v>
      </c>
    </row>
    <row r="153" spans="1:15">
      <c r="A153" t="s">
        <v>1964</v>
      </c>
      <c r="B153" t="s">
        <v>69</v>
      </c>
      <c r="C153">
        <v>2</v>
      </c>
      <c r="D153">
        <v>47</v>
      </c>
      <c r="E153">
        <v>94</v>
      </c>
      <c r="F153" s="12">
        <v>45726</v>
      </c>
      <c r="G153" s="12">
        <v>45727</v>
      </c>
      <c r="H153" t="s">
        <v>23</v>
      </c>
      <c r="I153" t="s">
        <v>35</v>
      </c>
      <c r="J153">
        <v>5</v>
      </c>
      <c r="K153" t="s">
        <v>19</v>
      </c>
      <c r="L153" t="s">
        <v>33</v>
      </c>
      <c r="M153">
        <v>1</v>
      </c>
      <c r="N153">
        <v>11</v>
      </c>
      <c r="O153" t="s">
        <v>2531</v>
      </c>
    </row>
    <row r="154" spans="1:15">
      <c r="A154" t="s">
        <v>1962</v>
      </c>
      <c r="B154" t="s">
        <v>16</v>
      </c>
      <c r="C154">
        <v>2</v>
      </c>
      <c r="D154">
        <v>23.3</v>
      </c>
      <c r="E154">
        <v>46.6</v>
      </c>
      <c r="F154" s="12">
        <v>45726</v>
      </c>
      <c r="G154" s="12">
        <v>45727</v>
      </c>
      <c r="H154" t="s">
        <v>23</v>
      </c>
      <c r="I154" t="s">
        <v>35</v>
      </c>
      <c r="J154">
        <v>5</v>
      </c>
      <c r="K154" t="s">
        <v>19</v>
      </c>
      <c r="L154" t="s">
        <v>33</v>
      </c>
      <c r="M154">
        <v>1</v>
      </c>
      <c r="N154">
        <v>11</v>
      </c>
      <c r="O154" t="s">
        <v>2531</v>
      </c>
    </row>
    <row r="155" spans="1:15">
      <c r="A155" t="s">
        <v>1961</v>
      </c>
      <c r="B155" t="s">
        <v>26</v>
      </c>
      <c r="C155">
        <v>2</v>
      </c>
      <c r="D155">
        <v>133</v>
      </c>
      <c r="E155">
        <v>266</v>
      </c>
      <c r="F155" s="12">
        <v>45726</v>
      </c>
      <c r="G155" s="12">
        <v>45726</v>
      </c>
      <c r="H155" t="s">
        <v>23</v>
      </c>
      <c r="I155" t="s">
        <v>40</v>
      </c>
      <c r="J155">
        <v>5</v>
      </c>
      <c r="K155" t="s">
        <v>19</v>
      </c>
      <c r="L155" t="s">
        <v>33</v>
      </c>
      <c r="M155">
        <v>0</v>
      </c>
      <c r="N155">
        <v>11</v>
      </c>
      <c r="O155" t="s">
        <v>2531</v>
      </c>
    </row>
    <row r="156" spans="1:15">
      <c r="A156" t="s">
        <v>227</v>
      </c>
      <c r="B156" t="s">
        <v>44</v>
      </c>
      <c r="C156">
        <v>2</v>
      </c>
      <c r="D156">
        <v>29.3</v>
      </c>
      <c r="E156">
        <v>58.6</v>
      </c>
      <c r="F156" s="12">
        <v>45664</v>
      </c>
      <c r="G156" s="12">
        <v>45664</v>
      </c>
      <c r="H156" t="s">
        <v>27</v>
      </c>
      <c r="I156" t="s">
        <v>35</v>
      </c>
      <c r="J156">
        <v>3</v>
      </c>
      <c r="K156" t="s">
        <v>19</v>
      </c>
      <c r="L156" t="s">
        <v>55</v>
      </c>
      <c r="M156">
        <v>0</v>
      </c>
      <c r="N156">
        <v>2</v>
      </c>
      <c r="O156" t="s">
        <v>2530</v>
      </c>
    </row>
    <row r="157" spans="1:15">
      <c r="A157" t="s">
        <v>1956</v>
      </c>
      <c r="B157" t="s">
        <v>44</v>
      </c>
      <c r="C157">
        <v>2</v>
      </c>
      <c r="D157">
        <v>30.6</v>
      </c>
      <c r="E157">
        <v>61.2</v>
      </c>
      <c r="F157" s="12">
        <v>45726</v>
      </c>
      <c r="G157" s="12">
        <v>45728</v>
      </c>
      <c r="H157" t="s">
        <v>27</v>
      </c>
      <c r="I157" t="s">
        <v>18</v>
      </c>
      <c r="J157">
        <v>4</v>
      </c>
      <c r="K157" t="s">
        <v>19</v>
      </c>
      <c r="L157" t="s">
        <v>24</v>
      </c>
      <c r="M157">
        <v>2</v>
      </c>
      <c r="N157">
        <v>11</v>
      </c>
      <c r="O157" t="s">
        <v>2530</v>
      </c>
    </row>
    <row r="158" spans="1:15">
      <c r="A158" t="s">
        <v>1953</v>
      </c>
      <c r="B158" t="s">
        <v>69</v>
      </c>
      <c r="C158">
        <v>2</v>
      </c>
      <c r="D158">
        <v>55.4</v>
      </c>
      <c r="E158">
        <v>110.8</v>
      </c>
      <c r="F158" s="12">
        <v>45725</v>
      </c>
      <c r="G158" s="12">
        <v>45726</v>
      </c>
      <c r="H158" t="s">
        <v>27</v>
      </c>
      <c r="I158" t="s">
        <v>18</v>
      </c>
      <c r="J158">
        <v>5</v>
      </c>
      <c r="K158" t="s">
        <v>19</v>
      </c>
      <c r="L158" t="s">
        <v>115</v>
      </c>
      <c r="M158">
        <v>1</v>
      </c>
      <c r="N158">
        <v>11</v>
      </c>
      <c r="O158" t="s">
        <v>2530</v>
      </c>
    </row>
    <row r="159" spans="1:15">
      <c r="A159" t="s">
        <v>1951</v>
      </c>
      <c r="B159" t="s">
        <v>26</v>
      </c>
      <c r="C159">
        <v>2</v>
      </c>
      <c r="D159">
        <v>60</v>
      </c>
      <c r="E159">
        <v>120</v>
      </c>
      <c r="F159" s="12">
        <v>45725</v>
      </c>
      <c r="G159" s="12">
        <v>45731</v>
      </c>
      <c r="H159" t="s">
        <v>23</v>
      </c>
      <c r="I159" t="s">
        <v>35</v>
      </c>
      <c r="J159">
        <v>5</v>
      </c>
      <c r="K159" t="s">
        <v>19</v>
      </c>
      <c r="L159" t="s">
        <v>113</v>
      </c>
      <c r="M159">
        <v>6</v>
      </c>
      <c r="N159">
        <v>11</v>
      </c>
      <c r="O159" t="s">
        <v>2531</v>
      </c>
    </row>
    <row r="160" spans="1:15">
      <c r="A160" t="s">
        <v>1950</v>
      </c>
      <c r="B160" t="s">
        <v>32</v>
      </c>
      <c r="C160">
        <v>2</v>
      </c>
      <c r="D160">
        <v>53.2</v>
      </c>
      <c r="E160">
        <v>106.4</v>
      </c>
      <c r="F160" s="12">
        <v>45725</v>
      </c>
      <c r="G160" s="12">
        <v>45726</v>
      </c>
      <c r="H160" t="s">
        <v>27</v>
      </c>
      <c r="I160" t="s">
        <v>35</v>
      </c>
      <c r="J160">
        <v>1</v>
      </c>
      <c r="K160" t="s">
        <v>19</v>
      </c>
      <c r="L160" t="s">
        <v>113</v>
      </c>
      <c r="M160">
        <v>1</v>
      </c>
      <c r="N160">
        <v>11</v>
      </c>
      <c r="O160" t="s">
        <v>2530</v>
      </c>
    </row>
    <row r="161" spans="1:15">
      <c r="A161" t="s">
        <v>1942</v>
      </c>
      <c r="B161" t="s">
        <v>26</v>
      </c>
      <c r="C161">
        <v>2</v>
      </c>
      <c r="D161">
        <v>135.1</v>
      </c>
      <c r="E161">
        <v>270.2</v>
      </c>
      <c r="F161" s="12">
        <v>45725</v>
      </c>
      <c r="G161" s="12">
        <v>45726</v>
      </c>
      <c r="H161" t="s">
        <v>23</v>
      </c>
      <c r="I161" t="s">
        <v>18</v>
      </c>
      <c r="J161">
        <v>5</v>
      </c>
      <c r="K161" t="s">
        <v>19</v>
      </c>
      <c r="L161" t="s">
        <v>103</v>
      </c>
      <c r="M161">
        <v>1</v>
      </c>
      <c r="N161">
        <v>11</v>
      </c>
      <c r="O161" t="s">
        <v>2531</v>
      </c>
    </row>
    <row r="162" spans="1:15">
      <c r="A162" t="s">
        <v>1941</v>
      </c>
      <c r="B162" t="s">
        <v>135</v>
      </c>
      <c r="C162">
        <v>2</v>
      </c>
      <c r="D162">
        <v>41.7</v>
      </c>
      <c r="E162">
        <v>83.4</v>
      </c>
      <c r="F162" s="12">
        <v>45725</v>
      </c>
      <c r="G162" s="12">
        <v>45733</v>
      </c>
      <c r="H162" t="s">
        <v>27</v>
      </c>
      <c r="I162" t="s">
        <v>18</v>
      </c>
      <c r="J162">
        <v>2</v>
      </c>
      <c r="K162" t="s">
        <v>19</v>
      </c>
      <c r="L162" t="s">
        <v>62</v>
      </c>
      <c r="M162">
        <v>8</v>
      </c>
      <c r="N162">
        <v>11</v>
      </c>
      <c r="O162" t="s">
        <v>2530</v>
      </c>
    </row>
    <row r="163" spans="1:15">
      <c r="A163" t="s">
        <v>1938</v>
      </c>
      <c r="B163" t="s">
        <v>26</v>
      </c>
      <c r="C163">
        <v>2</v>
      </c>
      <c r="D163">
        <v>110.5</v>
      </c>
      <c r="E163">
        <v>221</v>
      </c>
      <c r="F163" s="12">
        <v>45725</v>
      </c>
      <c r="G163" s="12">
        <v>45726</v>
      </c>
      <c r="H163" t="s">
        <v>27</v>
      </c>
      <c r="I163" t="s">
        <v>18</v>
      </c>
      <c r="J163">
        <v>3</v>
      </c>
      <c r="K163" t="s">
        <v>19</v>
      </c>
      <c r="L163" t="s">
        <v>62</v>
      </c>
      <c r="M163">
        <v>1</v>
      </c>
      <c r="N163">
        <v>11</v>
      </c>
      <c r="O163" t="s">
        <v>2530</v>
      </c>
    </row>
    <row r="164" spans="1:15">
      <c r="A164" t="s">
        <v>1934</v>
      </c>
      <c r="B164" t="s">
        <v>22</v>
      </c>
      <c r="C164">
        <v>2</v>
      </c>
      <c r="D164">
        <v>44.1</v>
      </c>
      <c r="E164">
        <v>88.2</v>
      </c>
      <c r="F164" s="12">
        <v>45725</v>
      </c>
      <c r="G164" s="12">
        <v>45737</v>
      </c>
      <c r="H164" t="s">
        <v>27</v>
      </c>
      <c r="I164" t="s">
        <v>18</v>
      </c>
      <c r="J164">
        <v>5</v>
      </c>
      <c r="K164" t="s">
        <v>19</v>
      </c>
      <c r="L164" t="s">
        <v>62</v>
      </c>
      <c r="M164">
        <v>12</v>
      </c>
      <c r="N164">
        <v>11</v>
      </c>
      <c r="O164" t="s">
        <v>2530</v>
      </c>
    </row>
    <row r="165" spans="1:15">
      <c r="A165" t="s">
        <v>1932</v>
      </c>
      <c r="B165" t="s">
        <v>22</v>
      </c>
      <c r="C165">
        <v>2</v>
      </c>
      <c r="D165">
        <v>61.6</v>
      </c>
      <c r="E165">
        <v>123.2</v>
      </c>
      <c r="F165" s="12">
        <v>45725</v>
      </c>
      <c r="G165" s="12">
        <v>45726</v>
      </c>
      <c r="H165" t="s">
        <v>27</v>
      </c>
      <c r="I165" t="s">
        <v>40</v>
      </c>
      <c r="J165">
        <v>5</v>
      </c>
      <c r="K165" t="s">
        <v>19</v>
      </c>
      <c r="L165" t="s">
        <v>158</v>
      </c>
      <c r="M165">
        <v>1</v>
      </c>
      <c r="N165">
        <v>11</v>
      </c>
      <c r="O165" t="s">
        <v>2530</v>
      </c>
    </row>
    <row r="166" spans="1:15">
      <c r="A166" t="s">
        <v>1930</v>
      </c>
      <c r="B166" t="s">
        <v>39</v>
      </c>
      <c r="C166">
        <v>2</v>
      </c>
      <c r="D166">
        <v>136.5</v>
      </c>
      <c r="E166">
        <v>273</v>
      </c>
      <c r="F166" s="12">
        <v>45725</v>
      </c>
      <c r="G166" s="12">
        <v>45731</v>
      </c>
      <c r="H166" t="s">
        <v>27</v>
      </c>
      <c r="I166" t="s">
        <v>18</v>
      </c>
      <c r="J166">
        <v>4</v>
      </c>
      <c r="K166" t="s">
        <v>19</v>
      </c>
      <c r="L166" t="s">
        <v>364</v>
      </c>
      <c r="M166">
        <v>6</v>
      </c>
      <c r="N166">
        <v>11</v>
      </c>
      <c r="O166" t="s">
        <v>2530</v>
      </c>
    </row>
    <row r="167" spans="1:15">
      <c r="A167" t="s">
        <v>1919</v>
      </c>
      <c r="B167" t="s">
        <v>42</v>
      </c>
      <c r="C167">
        <v>2</v>
      </c>
      <c r="D167">
        <v>102.4</v>
      </c>
      <c r="E167">
        <v>204.8</v>
      </c>
      <c r="F167" s="12">
        <v>45724</v>
      </c>
      <c r="G167" s="12">
        <v>45724</v>
      </c>
      <c r="H167" t="s">
        <v>27</v>
      </c>
      <c r="I167" t="s">
        <v>35</v>
      </c>
      <c r="J167">
        <v>4</v>
      </c>
      <c r="K167" t="s">
        <v>19</v>
      </c>
      <c r="L167" t="s">
        <v>33</v>
      </c>
      <c r="M167">
        <v>0</v>
      </c>
      <c r="N167">
        <v>10</v>
      </c>
      <c r="O167" t="s">
        <v>2530</v>
      </c>
    </row>
    <row r="168" spans="1:15">
      <c r="A168" t="s">
        <v>239</v>
      </c>
      <c r="B168" t="s">
        <v>26</v>
      </c>
      <c r="C168">
        <v>2</v>
      </c>
      <c r="D168">
        <v>86.4</v>
      </c>
      <c r="E168">
        <v>172.8</v>
      </c>
      <c r="F168" s="12">
        <v>45664</v>
      </c>
      <c r="G168" s="12">
        <v>45666</v>
      </c>
      <c r="H168" t="s">
        <v>27</v>
      </c>
      <c r="I168" t="s">
        <v>18</v>
      </c>
      <c r="J168">
        <v>4</v>
      </c>
      <c r="K168" t="s">
        <v>19</v>
      </c>
      <c r="L168" t="s">
        <v>108</v>
      </c>
      <c r="M168">
        <v>2</v>
      </c>
      <c r="N168">
        <v>2</v>
      </c>
      <c r="O168" t="s">
        <v>2530</v>
      </c>
    </row>
    <row r="169" spans="1:15">
      <c r="A169" t="s">
        <v>1916</v>
      </c>
      <c r="B169" t="s">
        <v>69</v>
      </c>
      <c r="C169">
        <v>2</v>
      </c>
      <c r="D169">
        <v>65.8</v>
      </c>
      <c r="E169">
        <v>131.6</v>
      </c>
      <c r="F169" s="12">
        <v>45724</v>
      </c>
      <c r="G169" s="12">
        <v>45726</v>
      </c>
      <c r="H169" t="s">
        <v>27</v>
      </c>
      <c r="I169" t="s">
        <v>18</v>
      </c>
      <c r="J169">
        <v>1</v>
      </c>
      <c r="K169" t="s">
        <v>19</v>
      </c>
      <c r="L169" t="s">
        <v>331</v>
      </c>
      <c r="M169">
        <v>2</v>
      </c>
      <c r="N169">
        <v>10</v>
      </c>
      <c r="O169" t="s">
        <v>2530</v>
      </c>
    </row>
    <row r="170" spans="1:15">
      <c r="A170" t="s">
        <v>241</v>
      </c>
      <c r="B170" t="s">
        <v>54</v>
      </c>
      <c r="C170">
        <v>2</v>
      </c>
      <c r="D170">
        <v>61</v>
      </c>
      <c r="E170">
        <v>122</v>
      </c>
      <c r="F170" s="12">
        <v>45664</v>
      </c>
      <c r="G170" s="12">
        <v>45675</v>
      </c>
      <c r="H170" t="s">
        <v>27</v>
      </c>
      <c r="I170" t="s">
        <v>70</v>
      </c>
      <c r="J170">
        <v>3</v>
      </c>
      <c r="K170" t="s">
        <v>19</v>
      </c>
      <c r="L170" t="s">
        <v>108</v>
      </c>
      <c r="M170">
        <v>11</v>
      </c>
      <c r="N170">
        <v>2</v>
      </c>
      <c r="O170" t="s">
        <v>2530</v>
      </c>
    </row>
    <row r="171" spans="1:15">
      <c r="A171" t="s">
        <v>242</v>
      </c>
      <c r="B171" t="s">
        <v>32</v>
      </c>
      <c r="C171">
        <v>2</v>
      </c>
      <c r="D171">
        <v>19.899999999999999</v>
      </c>
      <c r="E171">
        <v>39.799999999999997</v>
      </c>
      <c r="F171" s="12">
        <v>45664</v>
      </c>
      <c r="G171" s="12">
        <v>45667</v>
      </c>
      <c r="H171" t="s">
        <v>27</v>
      </c>
      <c r="I171" t="s">
        <v>35</v>
      </c>
      <c r="J171">
        <v>4</v>
      </c>
      <c r="K171" t="s">
        <v>19</v>
      </c>
      <c r="L171" t="s">
        <v>243</v>
      </c>
      <c r="M171">
        <v>3</v>
      </c>
      <c r="N171">
        <v>2</v>
      </c>
      <c r="O171" t="s">
        <v>2530</v>
      </c>
    </row>
    <row r="172" spans="1:15">
      <c r="A172" t="s">
        <v>1915</v>
      </c>
      <c r="B172" t="s">
        <v>46</v>
      </c>
      <c r="C172">
        <v>2</v>
      </c>
      <c r="D172">
        <v>47.8</v>
      </c>
      <c r="E172">
        <v>95.6</v>
      </c>
      <c r="F172" s="12">
        <v>45724</v>
      </c>
      <c r="G172" s="12">
        <v>45727</v>
      </c>
      <c r="H172" t="s">
        <v>23</v>
      </c>
      <c r="I172" t="s">
        <v>70</v>
      </c>
      <c r="J172">
        <v>5</v>
      </c>
      <c r="K172" t="s">
        <v>19</v>
      </c>
      <c r="L172" t="s">
        <v>24</v>
      </c>
      <c r="M172">
        <v>3</v>
      </c>
      <c r="N172">
        <v>10</v>
      </c>
      <c r="O172" t="s">
        <v>2531</v>
      </c>
    </row>
    <row r="173" spans="1:15">
      <c r="A173" t="s">
        <v>1913</v>
      </c>
      <c r="B173" t="s">
        <v>26</v>
      </c>
      <c r="C173">
        <v>2</v>
      </c>
      <c r="D173">
        <v>233</v>
      </c>
      <c r="E173">
        <v>466</v>
      </c>
      <c r="F173" s="12">
        <v>45724</v>
      </c>
      <c r="G173" s="12">
        <v>45727</v>
      </c>
      <c r="H173" t="s">
        <v>27</v>
      </c>
      <c r="I173" t="s">
        <v>35</v>
      </c>
      <c r="J173">
        <v>4</v>
      </c>
      <c r="K173" t="s">
        <v>19</v>
      </c>
      <c r="L173" t="s">
        <v>115</v>
      </c>
      <c r="M173">
        <v>3</v>
      </c>
      <c r="N173">
        <v>10</v>
      </c>
      <c r="O173" t="s">
        <v>2530</v>
      </c>
    </row>
    <row r="174" spans="1:15">
      <c r="A174" t="s">
        <v>1908</v>
      </c>
      <c r="B174" t="s">
        <v>37</v>
      </c>
      <c r="C174">
        <v>2</v>
      </c>
      <c r="D174">
        <v>37.299999999999997</v>
      </c>
      <c r="E174">
        <v>74.599999999999994</v>
      </c>
      <c r="F174" s="12">
        <v>45724</v>
      </c>
      <c r="G174" s="12">
        <v>45725</v>
      </c>
      <c r="H174" t="s">
        <v>27</v>
      </c>
      <c r="I174" t="s">
        <v>18</v>
      </c>
      <c r="J174">
        <v>5</v>
      </c>
      <c r="K174" t="s">
        <v>19</v>
      </c>
      <c r="L174" t="s">
        <v>108</v>
      </c>
      <c r="M174">
        <v>1</v>
      </c>
      <c r="N174">
        <v>10</v>
      </c>
      <c r="O174" t="s">
        <v>2530</v>
      </c>
    </row>
    <row r="175" spans="1:15">
      <c r="A175" t="s">
        <v>247</v>
      </c>
      <c r="B175" t="s">
        <v>81</v>
      </c>
      <c r="C175">
        <v>2</v>
      </c>
      <c r="D175">
        <v>17.3</v>
      </c>
      <c r="E175">
        <v>34.6</v>
      </c>
      <c r="F175" s="12">
        <v>45664</v>
      </c>
      <c r="G175" s="12">
        <v>45666</v>
      </c>
      <c r="H175" t="s">
        <v>27</v>
      </c>
      <c r="I175" t="s">
        <v>35</v>
      </c>
      <c r="J175">
        <v>5</v>
      </c>
      <c r="K175" t="s">
        <v>19</v>
      </c>
      <c r="L175" t="s">
        <v>33</v>
      </c>
      <c r="M175">
        <v>2</v>
      </c>
      <c r="N175">
        <v>2</v>
      </c>
      <c r="O175" t="s">
        <v>2530</v>
      </c>
    </row>
    <row r="176" spans="1:15">
      <c r="A176" t="s">
        <v>248</v>
      </c>
      <c r="B176" t="s">
        <v>54</v>
      </c>
      <c r="C176">
        <v>2</v>
      </c>
      <c r="D176">
        <v>30.5</v>
      </c>
      <c r="E176">
        <v>61</v>
      </c>
      <c r="F176" s="12">
        <v>45664</v>
      </c>
      <c r="G176" s="12">
        <v>45665</v>
      </c>
      <c r="H176" t="s">
        <v>27</v>
      </c>
      <c r="I176" t="s">
        <v>35</v>
      </c>
      <c r="J176">
        <v>5</v>
      </c>
      <c r="K176" t="s">
        <v>19</v>
      </c>
      <c r="L176" t="s">
        <v>33</v>
      </c>
      <c r="M176">
        <v>1</v>
      </c>
      <c r="N176">
        <v>2</v>
      </c>
      <c r="O176" t="s">
        <v>2530</v>
      </c>
    </row>
    <row r="177" spans="1:15">
      <c r="A177" t="s">
        <v>1904</v>
      </c>
      <c r="B177" t="s">
        <v>46</v>
      </c>
      <c r="C177">
        <v>2</v>
      </c>
      <c r="D177">
        <v>62.6</v>
      </c>
      <c r="E177">
        <v>125.2</v>
      </c>
      <c r="F177" s="12">
        <v>45723</v>
      </c>
      <c r="G177" s="12">
        <v>45724</v>
      </c>
      <c r="H177" t="s">
        <v>23</v>
      </c>
      <c r="I177" t="s">
        <v>40</v>
      </c>
      <c r="J177">
        <v>5</v>
      </c>
      <c r="K177" t="s">
        <v>19</v>
      </c>
      <c r="L177" t="s">
        <v>72</v>
      </c>
      <c r="M177">
        <v>1</v>
      </c>
      <c r="N177">
        <v>10</v>
      </c>
      <c r="O177" t="s">
        <v>2531</v>
      </c>
    </row>
    <row r="178" spans="1:15">
      <c r="A178" t="s">
        <v>1903</v>
      </c>
      <c r="B178" t="s">
        <v>16</v>
      </c>
      <c r="C178">
        <v>2</v>
      </c>
      <c r="D178">
        <v>16.7</v>
      </c>
      <c r="E178">
        <v>33.4</v>
      </c>
      <c r="F178" s="12">
        <v>45723</v>
      </c>
      <c r="G178" s="12">
        <v>45724</v>
      </c>
      <c r="H178" t="s">
        <v>27</v>
      </c>
      <c r="I178" t="s">
        <v>51</v>
      </c>
      <c r="J178">
        <v>3</v>
      </c>
      <c r="K178" t="s">
        <v>19</v>
      </c>
      <c r="L178" t="s">
        <v>62</v>
      </c>
      <c r="M178">
        <v>1</v>
      </c>
      <c r="N178">
        <v>10</v>
      </c>
      <c r="O178" t="s">
        <v>2530</v>
      </c>
    </row>
    <row r="179" spans="1:15">
      <c r="A179" t="s">
        <v>1894</v>
      </c>
      <c r="B179" t="s">
        <v>37</v>
      </c>
      <c r="C179">
        <v>2</v>
      </c>
      <c r="D179">
        <v>67.900000000000006</v>
      </c>
      <c r="E179">
        <v>135.80000000000001</v>
      </c>
      <c r="F179" s="12">
        <v>45723</v>
      </c>
      <c r="G179" s="12">
        <v>45724</v>
      </c>
      <c r="H179" t="s">
        <v>23</v>
      </c>
      <c r="I179" t="s">
        <v>18</v>
      </c>
      <c r="J179">
        <v>5</v>
      </c>
      <c r="K179" t="s">
        <v>19</v>
      </c>
      <c r="L179" t="s">
        <v>158</v>
      </c>
      <c r="M179">
        <v>1</v>
      </c>
      <c r="N179">
        <v>10</v>
      </c>
      <c r="O179" t="s">
        <v>2531</v>
      </c>
    </row>
    <row r="180" spans="1:15">
      <c r="A180" t="s">
        <v>1885</v>
      </c>
      <c r="B180" t="s">
        <v>39</v>
      </c>
      <c r="C180">
        <v>2</v>
      </c>
      <c r="D180">
        <v>41.9</v>
      </c>
      <c r="E180">
        <v>83.8</v>
      </c>
      <c r="F180" s="12">
        <v>45722</v>
      </c>
      <c r="G180" s="12">
        <v>45724</v>
      </c>
      <c r="H180" t="s">
        <v>27</v>
      </c>
      <c r="I180" t="s">
        <v>18</v>
      </c>
      <c r="J180">
        <v>4</v>
      </c>
      <c r="K180" t="s">
        <v>19</v>
      </c>
      <c r="L180" t="s">
        <v>33</v>
      </c>
      <c r="M180">
        <v>2</v>
      </c>
      <c r="N180">
        <v>10</v>
      </c>
      <c r="O180" t="s">
        <v>2530</v>
      </c>
    </row>
    <row r="181" spans="1:15">
      <c r="A181" t="s">
        <v>1881</v>
      </c>
      <c r="B181" t="s">
        <v>39</v>
      </c>
      <c r="C181">
        <v>2</v>
      </c>
      <c r="D181">
        <v>81</v>
      </c>
      <c r="E181">
        <v>162</v>
      </c>
      <c r="F181" s="12">
        <v>45722</v>
      </c>
      <c r="G181" s="12">
        <v>45723</v>
      </c>
      <c r="H181" t="s">
        <v>27</v>
      </c>
      <c r="I181" t="s">
        <v>35</v>
      </c>
      <c r="J181">
        <v>5</v>
      </c>
      <c r="K181" t="s">
        <v>19</v>
      </c>
      <c r="L181" t="s">
        <v>115</v>
      </c>
      <c r="M181">
        <v>1</v>
      </c>
      <c r="N181">
        <v>10</v>
      </c>
      <c r="O181" t="s">
        <v>2530</v>
      </c>
    </row>
    <row r="182" spans="1:15">
      <c r="A182" t="s">
        <v>1879</v>
      </c>
      <c r="B182" t="s">
        <v>44</v>
      </c>
      <c r="C182">
        <v>2</v>
      </c>
      <c r="D182">
        <v>20.2</v>
      </c>
      <c r="E182">
        <v>40.4</v>
      </c>
      <c r="F182" s="12">
        <v>45722</v>
      </c>
      <c r="G182" s="12">
        <v>45724</v>
      </c>
      <c r="H182" t="s">
        <v>27</v>
      </c>
      <c r="I182" t="s">
        <v>51</v>
      </c>
      <c r="J182">
        <v>4</v>
      </c>
      <c r="K182" t="s">
        <v>19</v>
      </c>
      <c r="L182" t="s">
        <v>115</v>
      </c>
      <c r="M182">
        <v>2</v>
      </c>
      <c r="N182">
        <v>10</v>
      </c>
      <c r="O182" t="s">
        <v>2530</v>
      </c>
    </row>
    <row r="183" spans="1:15">
      <c r="A183" t="s">
        <v>1878</v>
      </c>
      <c r="B183" t="s">
        <v>128</v>
      </c>
      <c r="C183">
        <v>2</v>
      </c>
      <c r="D183">
        <v>49.9</v>
      </c>
      <c r="E183">
        <v>99.8</v>
      </c>
      <c r="F183" s="12">
        <v>45722</v>
      </c>
      <c r="G183" s="12">
        <v>45725</v>
      </c>
      <c r="H183" t="s">
        <v>23</v>
      </c>
      <c r="I183" t="s">
        <v>18</v>
      </c>
      <c r="J183">
        <v>4</v>
      </c>
      <c r="K183" t="s">
        <v>19</v>
      </c>
      <c r="L183" t="s">
        <v>113</v>
      </c>
      <c r="M183">
        <v>3</v>
      </c>
      <c r="N183">
        <v>10</v>
      </c>
      <c r="O183" t="s">
        <v>2531</v>
      </c>
    </row>
    <row r="184" spans="1:15">
      <c r="A184" t="s">
        <v>1876</v>
      </c>
      <c r="B184" t="s">
        <v>30</v>
      </c>
      <c r="C184">
        <v>2</v>
      </c>
      <c r="D184">
        <v>40.799999999999997</v>
      </c>
      <c r="E184">
        <v>81.599999999999994</v>
      </c>
      <c r="F184" s="12">
        <v>45722</v>
      </c>
      <c r="G184" s="12">
        <v>45724</v>
      </c>
      <c r="H184" t="s">
        <v>23</v>
      </c>
      <c r="I184" t="s">
        <v>18</v>
      </c>
      <c r="J184">
        <v>3</v>
      </c>
      <c r="K184" t="s">
        <v>19</v>
      </c>
      <c r="L184" t="s">
        <v>103</v>
      </c>
      <c r="M184">
        <v>2</v>
      </c>
      <c r="N184">
        <v>10</v>
      </c>
      <c r="O184" t="s">
        <v>2531</v>
      </c>
    </row>
    <row r="185" spans="1:15">
      <c r="A185" t="s">
        <v>1875</v>
      </c>
      <c r="B185" t="s">
        <v>44</v>
      </c>
      <c r="C185">
        <v>2</v>
      </c>
      <c r="D185">
        <v>63.2</v>
      </c>
      <c r="E185">
        <v>126.4</v>
      </c>
      <c r="F185" s="12">
        <v>45722</v>
      </c>
      <c r="G185" s="12">
        <v>45723</v>
      </c>
      <c r="H185" t="s">
        <v>23</v>
      </c>
      <c r="I185" t="s">
        <v>18</v>
      </c>
      <c r="J185">
        <v>3</v>
      </c>
      <c r="K185" t="s">
        <v>19</v>
      </c>
      <c r="L185" t="s">
        <v>62</v>
      </c>
      <c r="M185">
        <v>1</v>
      </c>
      <c r="N185">
        <v>10</v>
      </c>
      <c r="O185" t="s">
        <v>2531</v>
      </c>
    </row>
    <row r="186" spans="1:15">
      <c r="A186" t="s">
        <v>259</v>
      </c>
      <c r="B186" t="s">
        <v>44</v>
      </c>
      <c r="C186">
        <v>2</v>
      </c>
      <c r="D186">
        <v>25.6</v>
      </c>
      <c r="E186">
        <v>51.2</v>
      </c>
      <c r="F186" s="12">
        <v>45665</v>
      </c>
      <c r="G186" s="12">
        <v>45666</v>
      </c>
      <c r="H186" t="s">
        <v>23</v>
      </c>
      <c r="I186" t="s">
        <v>18</v>
      </c>
      <c r="J186">
        <v>5</v>
      </c>
      <c r="K186" t="s">
        <v>19</v>
      </c>
      <c r="L186" t="s">
        <v>158</v>
      </c>
      <c r="M186">
        <v>1</v>
      </c>
      <c r="N186">
        <v>2</v>
      </c>
      <c r="O186" t="s">
        <v>2531</v>
      </c>
    </row>
    <row r="187" spans="1:15">
      <c r="A187" t="s">
        <v>1859</v>
      </c>
      <c r="B187" t="s">
        <v>26</v>
      </c>
      <c r="C187">
        <v>2</v>
      </c>
      <c r="D187">
        <v>93.4</v>
      </c>
      <c r="E187">
        <v>186.8</v>
      </c>
      <c r="F187" s="12">
        <v>45722</v>
      </c>
      <c r="G187" s="12">
        <v>45729</v>
      </c>
      <c r="H187" t="s">
        <v>23</v>
      </c>
      <c r="I187" t="s">
        <v>18</v>
      </c>
      <c r="J187">
        <v>1</v>
      </c>
      <c r="K187" t="s">
        <v>19</v>
      </c>
      <c r="L187" t="s">
        <v>77</v>
      </c>
      <c r="M187">
        <v>7</v>
      </c>
      <c r="N187">
        <v>10</v>
      </c>
      <c r="O187" t="s">
        <v>2531</v>
      </c>
    </row>
    <row r="188" spans="1:15">
      <c r="A188" t="s">
        <v>1858</v>
      </c>
      <c r="B188" t="s">
        <v>22</v>
      </c>
      <c r="C188">
        <v>2</v>
      </c>
      <c r="D188">
        <v>51.9</v>
      </c>
      <c r="E188">
        <v>103.8</v>
      </c>
      <c r="F188" s="12">
        <v>45722</v>
      </c>
      <c r="G188" s="12">
        <v>45723</v>
      </c>
      <c r="H188" t="s">
        <v>23</v>
      </c>
      <c r="I188" t="s">
        <v>35</v>
      </c>
      <c r="J188">
        <v>5</v>
      </c>
      <c r="K188" t="s">
        <v>19</v>
      </c>
      <c r="L188" t="s">
        <v>201</v>
      </c>
      <c r="M188">
        <v>1</v>
      </c>
      <c r="N188">
        <v>10</v>
      </c>
      <c r="O188" t="s">
        <v>2531</v>
      </c>
    </row>
    <row r="189" spans="1:15">
      <c r="A189" t="s">
        <v>1849</v>
      </c>
      <c r="B189" t="s">
        <v>22</v>
      </c>
      <c r="C189">
        <v>2</v>
      </c>
      <c r="D189">
        <v>77.3</v>
      </c>
      <c r="E189">
        <v>154.6</v>
      </c>
      <c r="F189" s="12">
        <v>45721</v>
      </c>
      <c r="G189" s="12">
        <v>45723</v>
      </c>
      <c r="H189" t="s">
        <v>23</v>
      </c>
      <c r="I189" t="s">
        <v>18</v>
      </c>
      <c r="J189">
        <v>4</v>
      </c>
      <c r="K189" t="s">
        <v>19</v>
      </c>
      <c r="L189" t="s">
        <v>55</v>
      </c>
      <c r="M189">
        <v>2</v>
      </c>
      <c r="N189">
        <v>10</v>
      </c>
      <c r="O189" t="s">
        <v>2531</v>
      </c>
    </row>
    <row r="190" spans="1:15">
      <c r="A190" t="s">
        <v>1845</v>
      </c>
      <c r="B190" t="s">
        <v>44</v>
      </c>
      <c r="C190">
        <v>2</v>
      </c>
      <c r="D190">
        <v>19.2</v>
      </c>
      <c r="E190">
        <v>38.4</v>
      </c>
      <c r="F190" s="12">
        <v>45721</v>
      </c>
      <c r="G190" s="12">
        <v>45731</v>
      </c>
      <c r="H190" t="s">
        <v>23</v>
      </c>
      <c r="I190" t="s">
        <v>18</v>
      </c>
      <c r="J190">
        <v>4</v>
      </c>
      <c r="K190" t="s">
        <v>19</v>
      </c>
      <c r="L190" t="s">
        <v>33</v>
      </c>
      <c r="M190">
        <v>10</v>
      </c>
      <c r="N190">
        <v>10</v>
      </c>
      <c r="O190" t="s">
        <v>2531</v>
      </c>
    </row>
    <row r="191" spans="1:15">
      <c r="A191" t="s">
        <v>1827</v>
      </c>
      <c r="B191" t="s">
        <v>44</v>
      </c>
      <c r="C191">
        <v>2</v>
      </c>
      <c r="D191">
        <v>47.7</v>
      </c>
      <c r="E191">
        <v>95.4</v>
      </c>
      <c r="F191" s="12">
        <v>45721</v>
      </c>
      <c r="G191" s="12">
        <v>45725</v>
      </c>
      <c r="H191" t="s">
        <v>23</v>
      </c>
      <c r="I191" t="s">
        <v>18</v>
      </c>
      <c r="J191">
        <v>5</v>
      </c>
      <c r="K191" t="s">
        <v>19</v>
      </c>
      <c r="L191" t="s">
        <v>74</v>
      </c>
      <c r="M191">
        <v>4</v>
      </c>
      <c r="N191">
        <v>10</v>
      </c>
      <c r="O191" t="s">
        <v>2531</v>
      </c>
    </row>
    <row r="192" spans="1:15">
      <c r="A192" t="s">
        <v>265</v>
      </c>
      <c r="B192" t="s">
        <v>39</v>
      </c>
      <c r="C192">
        <v>2</v>
      </c>
      <c r="D192">
        <v>51.8</v>
      </c>
      <c r="E192">
        <v>103.6</v>
      </c>
      <c r="F192" s="12">
        <v>45665</v>
      </c>
      <c r="G192" s="12">
        <v>45669</v>
      </c>
      <c r="H192" t="s">
        <v>17</v>
      </c>
      <c r="I192" t="s">
        <v>18</v>
      </c>
      <c r="J192">
        <v>5</v>
      </c>
      <c r="K192" t="s">
        <v>19</v>
      </c>
      <c r="L192" t="s">
        <v>74</v>
      </c>
      <c r="M192">
        <v>4</v>
      </c>
      <c r="N192">
        <v>2</v>
      </c>
      <c r="O192" t="s">
        <v>2533</v>
      </c>
    </row>
    <row r="193" spans="1:15">
      <c r="A193" t="s">
        <v>1823</v>
      </c>
      <c r="B193" t="s">
        <v>22</v>
      </c>
      <c r="C193">
        <v>2</v>
      </c>
      <c r="D193">
        <v>44</v>
      </c>
      <c r="E193">
        <v>88</v>
      </c>
      <c r="F193" s="12">
        <v>45721</v>
      </c>
      <c r="G193" s="12">
        <v>45724</v>
      </c>
      <c r="H193" t="s">
        <v>27</v>
      </c>
      <c r="I193" t="s">
        <v>35</v>
      </c>
      <c r="J193">
        <v>5</v>
      </c>
      <c r="K193" t="s">
        <v>19</v>
      </c>
      <c r="L193" t="s">
        <v>62</v>
      </c>
      <c r="M193">
        <v>3</v>
      </c>
      <c r="N193">
        <v>10</v>
      </c>
      <c r="O193" t="s">
        <v>2530</v>
      </c>
    </row>
    <row r="194" spans="1:15">
      <c r="A194" t="s">
        <v>267</v>
      </c>
      <c r="B194" t="s">
        <v>39</v>
      </c>
      <c r="C194">
        <v>2</v>
      </c>
      <c r="D194">
        <v>51.8</v>
      </c>
      <c r="E194">
        <v>103.6</v>
      </c>
      <c r="F194" s="12">
        <v>45665</v>
      </c>
      <c r="G194" s="12">
        <v>45667</v>
      </c>
      <c r="H194" t="s">
        <v>23</v>
      </c>
      <c r="I194" t="s">
        <v>35</v>
      </c>
      <c r="J194">
        <v>5</v>
      </c>
      <c r="K194" t="s">
        <v>19</v>
      </c>
      <c r="L194" t="s">
        <v>268</v>
      </c>
      <c r="M194">
        <v>2</v>
      </c>
      <c r="N194">
        <v>2</v>
      </c>
      <c r="O194" t="s">
        <v>2531</v>
      </c>
    </row>
    <row r="195" spans="1:15">
      <c r="A195" t="s">
        <v>1820</v>
      </c>
      <c r="B195" t="s">
        <v>39</v>
      </c>
      <c r="C195">
        <v>2</v>
      </c>
      <c r="D195">
        <v>65.400000000000006</v>
      </c>
      <c r="E195">
        <v>130.80000000000001</v>
      </c>
      <c r="F195" s="12">
        <v>45720</v>
      </c>
      <c r="G195" s="12">
        <v>45724</v>
      </c>
      <c r="H195" t="s">
        <v>27</v>
      </c>
      <c r="I195" t="s">
        <v>18</v>
      </c>
      <c r="J195">
        <v>4</v>
      </c>
      <c r="K195" t="s">
        <v>19</v>
      </c>
      <c r="L195" t="s">
        <v>55</v>
      </c>
      <c r="M195">
        <v>4</v>
      </c>
      <c r="N195">
        <v>10</v>
      </c>
      <c r="O195" t="s">
        <v>2530</v>
      </c>
    </row>
    <row r="196" spans="1:15">
      <c r="A196" t="s">
        <v>1819</v>
      </c>
      <c r="B196" t="s">
        <v>39</v>
      </c>
      <c r="C196">
        <v>2</v>
      </c>
      <c r="D196">
        <v>68.8</v>
      </c>
      <c r="E196">
        <v>137.6</v>
      </c>
      <c r="F196" s="12">
        <v>45720</v>
      </c>
      <c r="G196" s="12">
        <v>45725</v>
      </c>
      <c r="H196" t="s">
        <v>27</v>
      </c>
      <c r="I196" t="s">
        <v>51</v>
      </c>
      <c r="J196">
        <v>5</v>
      </c>
      <c r="K196" t="s">
        <v>19</v>
      </c>
      <c r="L196" t="s">
        <v>55</v>
      </c>
      <c r="M196">
        <v>5</v>
      </c>
      <c r="N196">
        <v>10</v>
      </c>
      <c r="O196" t="s">
        <v>2530</v>
      </c>
    </row>
    <row r="197" spans="1:15">
      <c r="A197" t="s">
        <v>271</v>
      </c>
      <c r="B197" t="s">
        <v>16</v>
      </c>
      <c r="C197">
        <v>2</v>
      </c>
      <c r="D197">
        <v>10.199999999999999</v>
      </c>
      <c r="E197">
        <v>20.399999999999999</v>
      </c>
      <c r="F197" s="12">
        <v>45665</v>
      </c>
      <c r="G197" s="12">
        <v>45667</v>
      </c>
      <c r="H197" t="s">
        <v>27</v>
      </c>
      <c r="I197" t="s">
        <v>18</v>
      </c>
      <c r="J197">
        <v>4</v>
      </c>
      <c r="K197" t="s">
        <v>19</v>
      </c>
      <c r="L197" t="s">
        <v>110</v>
      </c>
      <c r="M197">
        <v>2</v>
      </c>
      <c r="N197">
        <v>2</v>
      </c>
      <c r="O197" t="s">
        <v>2530</v>
      </c>
    </row>
    <row r="198" spans="1:15">
      <c r="A198" t="s">
        <v>1816</v>
      </c>
      <c r="B198" t="s">
        <v>26</v>
      </c>
      <c r="C198">
        <v>2</v>
      </c>
      <c r="D198">
        <v>118.5</v>
      </c>
      <c r="E198">
        <v>237</v>
      </c>
      <c r="F198" s="12">
        <v>45720</v>
      </c>
      <c r="G198" s="12">
        <v>45723</v>
      </c>
      <c r="H198" t="s">
        <v>23</v>
      </c>
      <c r="I198" t="s">
        <v>35</v>
      </c>
      <c r="J198">
        <v>5</v>
      </c>
      <c r="K198" t="s">
        <v>19</v>
      </c>
      <c r="L198" t="s">
        <v>98</v>
      </c>
      <c r="M198">
        <v>3</v>
      </c>
      <c r="N198">
        <v>10</v>
      </c>
      <c r="O198" t="s">
        <v>2531</v>
      </c>
    </row>
    <row r="199" spans="1:15">
      <c r="A199" t="s">
        <v>1807</v>
      </c>
      <c r="B199" t="s">
        <v>37</v>
      </c>
      <c r="C199">
        <v>2</v>
      </c>
      <c r="D199">
        <v>166.2</v>
      </c>
      <c r="E199">
        <v>332.4</v>
      </c>
      <c r="F199" s="12">
        <v>45720</v>
      </c>
      <c r="G199" s="12">
        <v>45721</v>
      </c>
      <c r="H199" t="s">
        <v>23</v>
      </c>
      <c r="I199" t="s">
        <v>18</v>
      </c>
      <c r="J199">
        <v>5</v>
      </c>
      <c r="K199" t="s">
        <v>19</v>
      </c>
      <c r="L199" t="s">
        <v>949</v>
      </c>
      <c r="M199">
        <v>1</v>
      </c>
      <c r="N199">
        <v>10</v>
      </c>
      <c r="O199" t="s">
        <v>2531</v>
      </c>
    </row>
    <row r="200" spans="1:15">
      <c r="A200" t="s">
        <v>1803</v>
      </c>
      <c r="B200" t="s">
        <v>146</v>
      </c>
      <c r="C200">
        <v>2</v>
      </c>
      <c r="D200">
        <v>79</v>
      </c>
      <c r="E200">
        <v>158</v>
      </c>
      <c r="F200" s="12">
        <v>45720</v>
      </c>
      <c r="G200" s="12">
        <v>45721</v>
      </c>
      <c r="H200" t="s">
        <v>23</v>
      </c>
      <c r="I200" t="s">
        <v>40</v>
      </c>
      <c r="J200">
        <v>4</v>
      </c>
      <c r="K200" t="s">
        <v>19</v>
      </c>
      <c r="L200" t="s">
        <v>243</v>
      </c>
      <c r="M200">
        <v>1</v>
      </c>
      <c r="N200">
        <v>10</v>
      </c>
      <c r="O200" t="s">
        <v>2531</v>
      </c>
    </row>
    <row r="201" spans="1:15">
      <c r="A201" t="s">
        <v>275</v>
      </c>
      <c r="B201" t="s">
        <v>37</v>
      </c>
      <c r="C201">
        <v>2</v>
      </c>
      <c r="D201">
        <v>69.5</v>
      </c>
      <c r="E201">
        <v>139</v>
      </c>
      <c r="F201" s="12">
        <v>45665</v>
      </c>
      <c r="G201" s="12">
        <v>45667</v>
      </c>
      <c r="H201" t="s">
        <v>23</v>
      </c>
      <c r="I201" t="s">
        <v>18</v>
      </c>
      <c r="J201">
        <v>5</v>
      </c>
      <c r="K201" t="s">
        <v>19</v>
      </c>
      <c r="L201" t="s">
        <v>28</v>
      </c>
      <c r="M201">
        <v>2</v>
      </c>
      <c r="N201">
        <v>2</v>
      </c>
      <c r="O201" t="s">
        <v>2531</v>
      </c>
    </row>
    <row r="202" spans="1:15">
      <c r="A202" t="s">
        <v>1799</v>
      </c>
      <c r="B202" t="s">
        <v>46</v>
      </c>
      <c r="C202">
        <v>2</v>
      </c>
      <c r="D202">
        <v>20.3</v>
      </c>
      <c r="E202">
        <v>40.6</v>
      </c>
      <c r="F202" s="12">
        <v>45720</v>
      </c>
      <c r="G202" s="12">
        <v>45726</v>
      </c>
      <c r="H202" t="s">
        <v>27</v>
      </c>
      <c r="I202" t="s">
        <v>51</v>
      </c>
      <c r="J202">
        <v>4</v>
      </c>
      <c r="K202" t="s">
        <v>19</v>
      </c>
      <c r="L202" t="s">
        <v>62</v>
      </c>
      <c r="M202">
        <v>6</v>
      </c>
      <c r="N202">
        <v>10</v>
      </c>
      <c r="O202" t="s">
        <v>2530</v>
      </c>
    </row>
    <row r="203" spans="1:15">
      <c r="A203" t="s">
        <v>277</v>
      </c>
      <c r="B203" t="s">
        <v>42</v>
      </c>
      <c r="C203">
        <v>2</v>
      </c>
      <c r="D203">
        <v>49.1</v>
      </c>
      <c r="E203">
        <v>98.2</v>
      </c>
      <c r="F203" s="12">
        <v>45665</v>
      </c>
      <c r="G203" s="12">
        <v>45673</v>
      </c>
      <c r="H203" t="s">
        <v>23</v>
      </c>
      <c r="I203" t="s">
        <v>51</v>
      </c>
      <c r="J203">
        <v>5</v>
      </c>
      <c r="K203" t="s">
        <v>19</v>
      </c>
      <c r="L203" t="s">
        <v>33</v>
      </c>
      <c r="M203">
        <v>8</v>
      </c>
      <c r="N203">
        <v>2</v>
      </c>
      <c r="O203" t="s">
        <v>2531</v>
      </c>
    </row>
    <row r="204" spans="1:15">
      <c r="A204" t="s">
        <v>278</v>
      </c>
      <c r="B204" t="s">
        <v>39</v>
      </c>
      <c r="C204">
        <v>2</v>
      </c>
      <c r="D204">
        <v>49.4</v>
      </c>
      <c r="E204">
        <v>98.8</v>
      </c>
      <c r="F204" s="12">
        <v>45666</v>
      </c>
      <c r="G204" s="12">
        <v>45667</v>
      </c>
      <c r="H204" t="s">
        <v>27</v>
      </c>
      <c r="I204" t="s">
        <v>40</v>
      </c>
      <c r="J204">
        <v>4</v>
      </c>
      <c r="K204" t="s">
        <v>19</v>
      </c>
      <c r="L204" t="s">
        <v>33</v>
      </c>
      <c r="M204">
        <v>1</v>
      </c>
      <c r="N204">
        <v>2</v>
      </c>
      <c r="O204" t="s">
        <v>2530</v>
      </c>
    </row>
    <row r="205" spans="1:15">
      <c r="A205" t="s">
        <v>1788</v>
      </c>
      <c r="B205" t="s">
        <v>44</v>
      </c>
      <c r="C205">
        <v>2</v>
      </c>
      <c r="D205">
        <v>79.8</v>
      </c>
      <c r="E205">
        <v>159.6</v>
      </c>
      <c r="F205" s="12">
        <v>45720</v>
      </c>
      <c r="G205" s="12">
        <v>45722</v>
      </c>
      <c r="H205" t="s">
        <v>27</v>
      </c>
      <c r="I205" t="s">
        <v>18</v>
      </c>
      <c r="J205">
        <v>3</v>
      </c>
      <c r="K205" t="s">
        <v>19</v>
      </c>
      <c r="L205" t="s">
        <v>33</v>
      </c>
      <c r="M205">
        <v>2</v>
      </c>
      <c r="N205">
        <v>10</v>
      </c>
      <c r="O205" t="s">
        <v>2530</v>
      </c>
    </row>
    <row r="206" spans="1:15">
      <c r="A206" t="s">
        <v>280</v>
      </c>
      <c r="B206" t="s">
        <v>30</v>
      </c>
      <c r="C206">
        <v>2</v>
      </c>
      <c r="D206">
        <v>52.1</v>
      </c>
      <c r="E206">
        <v>104.2</v>
      </c>
      <c r="F206" s="12">
        <v>45666</v>
      </c>
      <c r="G206" s="12">
        <v>45670</v>
      </c>
      <c r="H206" t="s">
        <v>27</v>
      </c>
      <c r="I206" t="s">
        <v>40</v>
      </c>
      <c r="J206">
        <v>4</v>
      </c>
      <c r="K206" t="s">
        <v>19</v>
      </c>
      <c r="L206" t="s">
        <v>33</v>
      </c>
      <c r="M206">
        <v>4</v>
      </c>
      <c r="N206">
        <v>2</v>
      </c>
      <c r="O206" t="s">
        <v>2530</v>
      </c>
    </row>
    <row r="207" spans="1:15">
      <c r="A207" t="s">
        <v>1787</v>
      </c>
      <c r="B207" t="s">
        <v>39</v>
      </c>
      <c r="C207">
        <v>2</v>
      </c>
      <c r="D207">
        <v>96.5</v>
      </c>
      <c r="E207">
        <v>193</v>
      </c>
      <c r="F207" s="12">
        <v>45720</v>
      </c>
      <c r="G207" s="12">
        <v>45721</v>
      </c>
      <c r="H207" t="s">
        <v>27</v>
      </c>
      <c r="I207" t="s">
        <v>35</v>
      </c>
      <c r="J207">
        <v>3</v>
      </c>
      <c r="K207" t="s">
        <v>19</v>
      </c>
      <c r="L207" t="s">
        <v>33</v>
      </c>
      <c r="M207">
        <v>1</v>
      </c>
      <c r="N207">
        <v>10</v>
      </c>
      <c r="O207" t="s">
        <v>2530</v>
      </c>
    </row>
    <row r="208" spans="1:15">
      <c r="A208" t="s">
        <v>1785</v>
      </c>
      <c r="B208" t="s">
        <v>26</v>
      </c>
      <c r="C208">
        <v>2</v>
      </c>
      <c r="D208">
        <v>149.6</v>
      </c>
      <c r="E208">
        <v>299.2</v>
      </c>
      <c r="F208" s="12">
        <v>45720</v>
      </c>
      <c r="G208" s="12">
        <v>45721</v>
      </c>
      <c r="H208" t="s">
        <v>27</v>
      </c>
      <c r="I208" t="s">
        <v>18</v>
      </c>
      <c r="J208">
        <v>4</v>
      </c>
      <c r="K208" t="s">
        <v>19</v>
      </c>
      <c r="L208" t="s">
        <v>33</v>
      </c>
      <c r="M208">
        <v>1</v>
      </c>
      <c r="N208">
        <v>10</v>
      </c>
      <c r="O208" t="s">
        <v>2530</v>
      </c>
    </row>
    <row r="209" spans="1:15">
      <c r="A209" t="s">
        <v>1779</v>
      </c>
      <c r="B209" t="s">
        <v>26</v>
      </c>
      <c r="C209">
        <v>2</v>
      </c>
      <c r="D209">
        <v>87.2</v>
      </c>
      <c r="E209">
        <v>174.4</v>
      </c>
      <c r="F209" s="12">
        <v>45720</v>
      </c>
      <c r="G209" s="12">
        <v>45721</v>
      </c>
      <c r="H209" t="s">
        <v>27</v>
      </c>
      <c r="I209" t="s">
        <v>18</v>
      </c>
      <c r="J209">
        <v>3</v>
      </c>
      <c r="K209" t="s">
        <v>19</v>
      </c>
      <c r="L209" t="s">
        <v>24</v>
      </c>
      <c r="M209">
        <v>1</v>
      </c>
      <c r="N209">
        <v>10</v>
      </c>
      <c r="O209" t="s">
        <v>2530</v>
      </c>
    </row>
    <row r="210" spans="1:15">
      <c r="A210" t="s">
        <v>1778</v>
      </c>
      <c r="B210" t="s">
        <v>39</v>
      </c>
      <c r="C210">
        <v>2</v>
      </c>
      <c r="D210">
        <v>53.9</v>
      </c>
      <c r="E210">
        <v>107.8</v>
      </c>
      <c r="F210" s="12">
        <v>45720</v>
      </c>
      <c r="G210" s="12">
        <v>45723</v>
      </c>
      <c r="H210" t="s">
        <v>89</v>
      </c>
      <c r="I210" t="s">
        <v>18</v>
      </c>
      <c r="J210">
        <v>2</v>
      </c>
      <c r="K210" t="s">
        <v>19</v>
      </c>
      <c r="L210" t="s">
        <v>24</v>
      </c>
      <c r="M210">
        <v>3</v>
      </c>
      <c r="N210">
        <v>10</v>
      </c>
      <c r="O210" t="s">
        <v>2532</v>
      </c>
    </row>
    <row r="211" spans="1:15">
      <c r="A211" t="s">
        <v>285</v>
      </c>
      <c r="B211" t="s">
        <v>44</v>
      </c>
      <c r="C211">
        <v>2</v>
      </c>
      <c r="D211">
        <v>22.7</v>
      </c>
      <c r="E211">
        <v>45.4</v>
      </c>
      <c r="F211" s="12">
        <v>45666</v>
      </c>
      <c r="G211" s="12">
        <v>45667</v>
      </c>
      <c r="H211" t="s">
        <v>23</v>
      </c>
      <c r="I211" t="s">
        <v>51</v>
      </c>
      <c r="J211">
        <v>5</v>
      </c>
      <c r="K211" t="s">
        <v>19</v>
      </c>
      <c r="L211" t="s">
        <v>33</v>
      </c>
      <c r="M211">
        <v>1</v>
      </c>
      <c r="N211">
        <v>2</v>
      </c>
      <c r="O211" t="s">
        <v>2531</v>
      </c>
    </row>
    <row r="212" spans="1:15">
      <c r="A212" t="s">
        <v>1765</v>
      </c>
      <c r="B212" t="s">
        <v>44</v>
      </c>
      <c r="C212">
        <v>2</v>
      </c>
      <c r="D212">
        <v>36.299999999999997</v>
      </c>
      <c r="E212">
        <v>72.599999999999994</v>
      </c>
      <c r="F212" s="12">
        <v>45719</v>
      </c>
      <c r="G212" s="12">
        <v>45720</v>
      </c>
      <c r="H212" t="s">
        <v>27</v>
      </c>
      <c r="I212" t="s">
        <v>18</v>
      </c>
      <c r="J212">
        <v>2</v>
      </c>
      <c r="K212" t="s">
        <v>19</v>
      </c>
      <c r="L212" t="s">
        <v>62</v>
      </c>
      <c r="M212">
        <v>1</v>
      </c>
      <c r="N212">
        <v>10</v>
      </c>
      <c r="O212" t="s">
        <v>2530</v>
      </c>
    </row>
    <row r="213" spans="1:15">
      <c r="A213" t="s">
        <v>1759</v>
      </c>
      <c r="B213" t="s">
        <v>32</v>
      </c>
      <c r="C213">
        <v>2</v>
      </c>
      <c r="D213">
        <v>35.5</v>
      </c>
      <c r="E213">
        <v>71</v>
      </c>
      <c r="F213" s="12">
        <v>45719</v>
      </c>
      <c r="G213" s="12">
        <v>45722</v>
      </c>
      <c r="H213" t="s">
        <v>23</v>
      </c>
      <c r="I213" t="s">
        <v>18</v>
      </c>
      <c r="J213">
        <v>5</v>
      </c>
      <c r="K213" t="s">
        <v>19</v>
      </c>
      <c r="L213" t="s">
        <v>188</v>
      </c>
      <c r="M213">
        <v>3</v>
      </c>
      <c r="N213">
        <v>10</v>
      </c>
      <c r="O213" t="s">
        <v>2531</v>
      </c>
    </row>
    <row r="214" spans="1:15">
      <c r="A214" t="s">
        <v>1755</v>
      </c>
      <c r="B214" t="s">
        <v>135</v>
      </c>
      <c r="C214">
        <v>2</v>
      </c>
      <c r="D214">
        <v>37.200000000000003</v>
      </c>
      <c r="E214">
        <v>74.400000000000006</v>
      </c>
      <c r="F214" s="12">
        <v>45719</v>
      </c>
      <c r="G214" s="12">
        <v>45722</v>
      </c>
      <c r="H214" t="s">
        <v>23</v>
      </c>
      <c r="I214" t="s">
        <v>70</v>
      </c>
      <c r="J214">
        <v>4</v>
      </c>
      <c r="K214" t="s">
        <v>19</v>
      </c>
      <c r="L214" t="s">
        <v>33</v>
      </c>
      <c r="M214">
        <v>3</v>
      </c>
      <c r="N214">
        <v>10</v>
      </c>
      <c r="O214" t="s">
        <v>2531</v>
      </c>
    </row>
    <row r="215" spans="1:15">
      <c r="A215" t="s">
        <v>1753</v>
      </c>
      <c r="B215" t="s">
        <v>26</v>
      </c>
      <c r="C215">
        <v>2</v>
      </c>
      <c r="D215">
        <v>121.6</v>
      </c>
      <c r="E215">
        <v>243.2</v>
      </c>
      <c r="F215" s="12">
        <v>45719</v>
      </c>
      <c r="G215" s="12">
        <v>45722</v>
      </c>
      <c r="H215" t="s">
        <v>23</v>
      </c>
      <c r="I215" t="s">
        <v>51</v>
      </c>
      <c r="J215">
        <v>5</v>
      </c>
      <c r="K215" t="s">
        <v>19</v>
      </c>
      <c r="L215" t="s">
        <v>33</v>
      </c>
      <c r="M215">
        <v>3</v>
      </c>
      <c r="N215">
        <v>10</v>
      </c>
      <c r="O215" t="s">
        <v>2531</v>
      </c>
    </row>
    <row r="216" spans="1:15">
      <c r="A216" t="s">
        <v>1750</v>
      </c>
      <c r="B216" t="s">
        <v>44</v>
      </c>
      <c r="C216">
        <v>2</v>
      </c>
      <c r="D216">
        <v>37.1</v>
      </c>
      <c r="E216">
        <v>74.2</v>
      </c>
      <c r="F216" s="12">
        <v>45719</v>
      </c>
      <c r="G216" s="12">
        <v>45722</v>
      </c>
      <c r="H216" t="s">
        <v>27</v>
      </c>
      <c r="I216" t="s">
        <v>40</v>
      </c>
      <c r="J216">
        <v>4</v>
      </c>
      <c r="K216" t="s">
        <v>19</v>
      </c>
      <c r="L216" t="s">
        <v>33</v>
      </c>
      <c r="M216">
        <v>3</v>
      </c>
      <c r="N216">
        <v>10</v>
      </c>
      <c r="O216" t="s">
        <v>2530</v>
      </c>
    </row>
    <row r="217" spans="1:15">
      <c r="A217" t="s">
        <v>1746</v>
      </c>
      <c r="B217" t="s">
        <v>32</v>
      </c>
      <c r="C217">
        <v>2</v>
      </c>
      <c r="D217">
        <v>23.6</v>
      </c>
      <c r="E217">
        <v>47.2</v>
      </c>
      <c r="F217" s="12">
        <v>45719</v>
      </c>
      <c r="G217" s="12">
        <v>45722</v>
      </c>
      <c r="H217" t="s">
        <v>23</v>
      </c>
      <c r="I217" t="s">
        <v>18</v>
      </c>
      <c r="J217">
        <v>5</v>
      </c>
      <c r="K217" t="s">
        <v>19</v>
      </c>
      <c r="L217" t="s">
        <v>33</v>
      </c>
      <c r="M217">
        <v>3</v>
      </c>
      <c r="N217">
        <v>10</v>
      </c>
      <c r="O217" t="s">
        <v>2531</v>
      </c>
    </row>
    <row r="218" spans="1:15">
      <c r="A218" t="s">
        <v>1744</v>
      </c>
      <c r="B218" t="s">
        <v>26</v>
      </c>
      <c r="C218">
        <v>2</v>
      </c>
      <c r="D218">
        <v>123.9</v>
      </c>
      <c r="E218">
        <v>247.8</v>
      </c>
      <c r="F218" s="12">
        <v>45719</v>
      </c>
      <c r="G218" s="12">
        <v>45722</v>
      </c>
      <c r="H218" t="s">
        <v>23</v>
      </c>
      <c r="I218" t="s">
        <v>40</v>
      </c>
      <c r="J218">
        <v>4</v>
      </c>
      <c r="K218" t="s">
        <v>19</v>
      </c>
      <c r="L218" t="s">
        <v>24</v>
      </c>
      <c r="M218">
        <v>3</v>
      </c>
      <c r="N218">
        <v>10</v>
      </c>
      <c r="O218" t="s">
        <v>2531</v>
      </c>
    </row>
    <row r="219" spans="1:15">
      <c r="A219" t="s">
        <v>1741</v>
      </c>
      <c r="B219" t="s">
        <v>123</v>
      </c>
      <c r="C219">
        <v>2</v>
      </c>
      <c r="D219">
        <v>32.299999999999997</v>
      </c>
      <c r="E219">
        <v>64.599999999999994</v>
      </c>
      <c r="F219" s="12">
        <v>45718</v>
      </c>
      <c r="G219" s="12">
        <v>45719</v>
      </c>
      <c r="H219" t="s">
        <v>23</v>
      </c>
      <c r="I219" t="s">
        <v>18</v>
      </c>
      <c r="J219">
        <v>5</v>
      </c>
      <c r="K219" t="s">
        <v>19</v>
      </c>
      <c r="L219" t="s">
        <v>115</v>
      </c>
      <c r="M219">
        <v>1</v>
      </c>
      <c r="N219">
        <v>10</v>
      </c>
      <c r="O219" t="s">
        <v>2531</v>
      </c>
    </row>
    <row r="220" spans="1:15">
      <c r="A220" t="s">
        <v>295</v>
      </c>
      <c r="B220" t="s">
        <v>37</v>
      </c>
      <c r="C220">
        <v>2</v>
      </c>
      <c r="D220">
        <v>32.700000000000003</v>
      </c>
      <c r="E220">
        <v>65.400000000000006</v>
      </c>
      <c r="F220" s="12">
        <v>45667</v>
      </c>
      <c r="G220" s="12">
        <v>45670</v>
      </c>
      <c r="H220" t="s">
        <v>27</v>
      </c>
      <c r="I220" t="s">
        <v>35</v>
      </c>
      <c r="J220">
        <v>4</v>
      </c>
      <c r="K220" t="s">
        <v>19</v>
      </c>
      <c r="L220" t="s">
        <v>28</v>
      </c>
      <c r="M220">
        <v>3</v>
      </c>
      <c r="N220">
        <v>2</v>
      </c>
      <c r="O220" t="s">
        <v>2530</v>
      </c>
    </row>
    <row r="221" spans="1:15">
      <c r="A221" t="s">
        <v>1723</v>
      </c>
      <c r="B221" t="s">
        <v>42</v>
      </c>
      <c r="C221">
        <v>2</v>
      </c>
      <c r="D221">
        <v>71.5</v>
      </c>
      <c r="E221">
        <v>143</v>
      </c>
      <c r="F221" s="12">
        <v>45718</v>
      </c>
      <c r="G221" s="12">
        <v>45722</v>
      </c>
      <c r="H221" t="s">
        <v>27</v>
      </c>
      <c r="I221" t="s">
        <v>18</v>
      </c>
      <c r="J221">
        <v>4</v>
      </c>
      <c r="K221" t="s">
        <v>19</v>
      </c>
      <c r="L221" t="s">
        <v>33</v>
      </c>
      <c r="M221">
        <v>4</v>
      </c>
      <c r="N221">
        <v>10</v>
      </c>
      <c r="O221" t="s">
        <v>2530</v>
      </c>
    </row>
    <row r="222" spans="1:15">
      <c r="A222" t="s">
        <v>1722</v>
      </c>
      <c r="B222" t="s">
        <v>54</v>
      </c>
      <c r="C222">
        <v>2</v>
      </c>
      <c r="D222">
        <v>30.4</v>
      </c>
      <c r="E222">
        <v>60.8</v>
      </c>
      <c r="F222" s="12">
        <v>45718</v>
      </c>
      <c r="G222" s="12">
        <v>45720</v>
      </c>
      <c r="H222" t="s">
        <v>23</v>
      </c>
      <c r="I222" t="s">
        <v>40</v>
      </c>
      <c r="J222">
        <v>4</v>
      </c>
      <c r="K222" t="s">
        <v>19</v>
      </c>
      <c r="L222" t="s">
        <v>33</v>
      </c>
      <c r="M222">
        <v>2</v>
      </c>
      <c r="N222">
        <v>10</v>
      </c>
      <c r="O222" t="s">
        <v>2531</v>
      </c>
    </row>
    <row r="223" spans="1:15">
      <c r="A223" t="s">
        <v>1714</v>
      </c>
      <c r="B223" t="s">
        <v>26</v>
      </c>
      <c r="C223">
        <v>2</v>
      </c>
      <c r="D223">
        <v>128.80000000000001</v>
      </c>
      <c r="E223">
        <v>257.60000000000002</v>
      </c>
      <c r="F223" s="12">
        <v>45718</v>
      </c>
      <c r="G223" s="12">
        <v>45721</v>
      </c>
      <c r="H223" t="s">
        <v>27</v>
      </c>
      <c r="I223" t="s">
        <v>35</v>
      </c>
      <c r="J223">
        <v>3</v>
      </c>
      <c r="K223" t="s">
        <v>19</v>
      </c>
      <c r="L223" t="s">
        <v>33</v>
      </c>
      <c r="M223">
        <v>3</v>
      </c>
      <c r="N223">
        <v>10</v>
      </c>
      <c r="O223" t="s">
        <v>2530</v>
      </c>
    </row>
    <row r="224" spans="1:15">
      <c r="A224" t="s">
        <v>299</v>
      </c>
      <c r="B224" t="s">
        <v>69</v>
      </c>
      <c r="C224">
        <v>2</v>
      </c>
      <c r="D224">
        <v>53.9</v>
      </c>
      <c r="E224">
        <v>107.8</v>
      </c>
      <c r="F224" s="12">
        <v>45667</v>
      </c>
      <c r="G224" s="12">
        <v>45668</v>
      </c>
      <c r="H224" t="s">
        <v>27</v>
      </c>
      <c r="I224" t="s">
        <v>40</v>
      </c>
      <c r="J224">
        <v>4</v>
      </c>
      <c r="K224" t="s">
        <v>19</v>
      </c>
      <c r="L224" t="s">
        <v>33</v>
      </c>
      <c r="M224">
        <v>1</v>
      </c>
      <c r="N224">
        <v>2</v>
      </c>
      <c r="O224" t="s">
        <v>2530</v>
      </c>
    </row>
    <row r="225" spans="1:15">
      <c r="A225" t="s">
        <v>1710</v>
      </c>
      <c r="B225" t="s">
        <v>44</v>
      </c>
      <c r="C225">
        <v>2</v>
      </c>
      <c r="D225">
        <v>40.299999999999997</v>
      </c>
      <c r="E225">
        <v>80.599999999999994</v>
      </c>
      <c r="F225" s="12">
        <v>45717</v>
      </c>
      <c r="G225" s="12">
        <v>45719</v>
      </c>
      <c r="H225" t="s">
        <v>23</v>
      </c>
      <c r="I225" t="s">
        <v>51</v>
      </c>
      <c r="J225">
        <v>4</v>
      </c>
      <c r="K225" t="s">
        <v>19</v>
      </c>
      <c r="L225" t="s">
        <v>208</v>
      </c>
      <c r="M225">
        <v>2</v>
      </c>
      <c r="N225">
        <v>9</v>
      </c>
      <c r="O225" t="s">
        <v>2531</v>
      </c>
    </row>
    <row r="226" spans="1:15">
      <c r="A226" t="s">
        <v>1709</v>
      </c>
      <c r="B226" t="s">
        <v>67</v>
      </c>
      <c r="C226">
        <v>2</v>
      </c>
      <c r="D226">
        <v>39</v>
      </c>
      <c r="E226">
        <v>78</v>
      </c>
      <c r="F226" s="12">
        <v>45717</v>
      </c>
      <c r="G226" s="12">
        <v>45718</v>
      </c>
      <c r="H226" t="s">
        <v>23</v>
      </c>
      <c r="I226" t="s">
        <v>35</v>
      </c>
      <c r="J226">
        <v>5</v>
      </c>
      <c r="K226" t="s">
        <v>19</v>
      </c>
      <c r="L226" t="s">
        <v>24</v>
      </c>
      <c r="M226">
        <v>1</v>
      </c>
      <c r="N226">
        <v>9</v>
      </c>
      <c r="O226" t="s">
        <v>2531</v>
      </c>
    </row>
    <row r="227" spans="1:15">
      <c r="A227" t="s">
        <v>1703</v>
      </c>
      <c r="B227" t="s">
        <v>54</v>
      </c>
      <c r="C227">
        <v>2</v>
      </c>
      <c r="D227">
        <v>21.1</v>
      </c>
      <c r="E227">
        <v>42.2</v>
      </c>
      <c r="F227" s="12">
        <v>45717</v>
      </c>
      <c r="G227" s="12">
        <v>45717</v>
      </c>
      <c r="H227" t="s">
        <v>27</v>
      </c>
      <c r="I227" t="s">
        <v>35</v>
      </c>
      <c r="J227">
        <v>4</v>
      </c>
      <c r="K227" t="s">
        <v>19</v>
      </c>
      <c r="L227" t="s">
        <v>77</v>
      </c>
      <c r="M227">
        <v>0</v>
      </c>
      <c r="N227">
        <v>9</v>
      </c>
      <c r="O227" t="s">
        <v>2530</v>
      </c>
    </row>
    <row r="228" spans="1:15">
      <c r="A228" t="s">
        <v>1702</v>
      </c>
      <c r="B228" t="s">
        <v>146</v>
      </c>
      <c r="C228">
        <v>2</v>
      </c>
      <c r="D228">
        <v>64.8</v>
      </c>
      <c r="E228">
        <v>129.6</v>
      </c>
      <c r="F228" s="12">
        <v>45717</v>
      </c>
      <c r="G228" s="12">
        <v>45719</v>
      </c>
      <c r="H228" t="s">
        <v>23</v>
      </c>
      <c r="I228" t="s">
        <v>18</v>
      </c>
      <c r="J228">
        <v>5</v>
      </c>
      <c r="K228" t="s">
        <v>19</v>
      </c>
      <c r="L228" t="s">
        <v>62</v>
      </c>
      <c r="M228">
        <v>2</v>
      </c>
      <c r="N228">
        <v>9</v>
      </c>
      <c r="O228" t="s">
        <v>2531</v>
      </c>
    </row>
    <row r="229" spans="1:15">
      <c r="A229" t="s">
        <v>1701</v>
      </c>
      <c r="B229" t="s">
        <v>69</v>
      </c>
      <c r="C229">
        <v>2</v>
      </c>
      <c r="D229">
        <v>109.1</v>
      </c>
      <c r="E229">
        <v>218.2</v>
      </c>
      <c r="F229" s="12">
        <v>45717</v>
      </c>
      <c r="G229" s="12">
        <v>45719</v>
      </c>
      <c r="H229" t="s">
        <v>23</v>
      </c>
      <c r="I229" t="s">
        <v>18</v>
      </c>
      <c r="J229">
        <v>5</v>
      </c>
      <c r="K229" t="s">
        <v>19</v>
      </c>
      <c r="L229" t="s">
        <v>62</v>
      </c>
      <c r="M229">
        <v>2</v>
      </c>
      <c r="N229">
        <v>9</v>
      </c>
      <c r="O229" t="s">
        <v>2531</v>
      </c>
    </row>
    <row r="230" spans="1:15">
      <c r="A230" t="s">
        <v>1697</v>
      </c>
      <c r="B230" t="s">
        <v>22</v>
      </c>
      <c r="C230">
        <v>2</v>
      </c>
      <c r="D230">
        <v>68.2</v>
      </c>
      <c r="E230">
        <v>136.4</v>
      </c>
      <c r="F230" s="12">
        <v>45717</v>
      </c>
      <c r="G230" s="12">
        <v>45718</v>
      </c>
      <c r="H230" t="s">
        <v>17</v>
      </c>
      <c r="I230" t="s">
        <v>40</v>
      </c>
      <c r="J230">
        <v>4</v>
      </c>
      <c r="K230" t="s">
        <v>19</v>
      </c>
      <c r="L230" t="s">
        <v>59</v>
      </c>
      <c r="M230">
        <v>1</v>
      </c>
      <c r="N230">
        <v>9</v>
      </c>
      <c r="O230" t="s">
        <v>2533</v>
      </c>
    </row>
    <row r="231" spans="1:15">
      <c r="A231" t="s">
        <v>1694</v>
      </c>
      <c r="B231" t="s">
        <v>54</v>
      </c>
      <c r="C231">
        <v>2</v>
      </c>
      <c r="D231">
        <v>51.8</v>
      </c>
      <c r="E231">
        <v>103.6</v>
      </c>
      <c r="F231" s="12">
        <v>45717</v>
      </c>
      <c r="G231" s="12">
        <v>45723</v>
      </c>
      <c r="H231" t="s">
        <v>23</v>
      </c>
      <c r="I231" t="s">
        <v>35</v>
      </c>
      <c r="J231">
        <v>2</v>
      </c>
      <c r="K231" t="s">
        <v>19</v>
      </c>
      <c r="L231" t="s">
        <v>55</v>
      </c>
      <c r="M231">
        <v>6</v>
      </c>
      <c r="N231">
        <v>9</v>
      </c>
      <c r="O231" t="s">
        <v>2531</v>
      </c>
    </row>
    <row r="232" spans="1:15">
      <c r="A232" t="s">
        <v>1682</v>
      </c>
      <c r="B232" t="s">
        <v>46</v>
      </c>
      <c r="C232">
        <v>2</v>
      </c>
      <c r="D232">
        <v>24</v>
      </c>
      <c r="E232">
        <v>48</v>
      </c>
      <c r="F232" s="12">
        <v>45716</v>
      </c>
      <c r="G232" s="12">
        <v>45721</v>
      </c>
      <c r="H232" t="s">
        <v>27</v>
      </c>
      <c r="I232" t="s">
        <v>18</v>
      </c>
      <c r="J232">
        <v>4</v>
      </c>
      <c r="K232" t="s">
        <v>19</v>
      </c>
      <c r="L232" t="s">
        <v>77</v>
      </c>
      <c r="M232">
        <v>5</v>
      </c>
      <c r="N232">
        <v>9</v>
      </c>
      <c r="O232" t="s">
        <v>2530</v>
      </c>
    </row>
    <row r="233" spans="1:15">
      <c r="A233" t="s">
        <v>1672</v>
      </c>
      <c r="B233" t="s">
        <v>39</v>
      </c>
      <c r="C233">
        <v>2</v>
      </c>
      <c r="D233">
        <v>72.2</v>
      </c>
      <c r="E233">
        <v>144.4</v>
      </c>
      <c r="F233" s="12">
        <v>45716</v>
      </c>
      <c r="G233" s="12">
        <v>45717</v>
      </c>
      <c r="H233" t="s">
        <v>23</v>
      </c>
      <c r="I233" t="s">
        <v>18</v>
      </c>
      <c r="J233">
        <v>5</v>
      </c>
      <c r="K233" t="s">
        <v>19</v>
      </c>
      <c r="L233" t="s">
        <v>188</v>
      </c>
      <c r="M233">
        <v>1</v>
      </c>
      <c r="N233">
        <v>9</v>
      </c>
      <c r="O233" t="s">
        <v>2531</v>
      </c>
    </row>
    <row r="234" spans="1:15">
      <c r="A234" t="s">
        <v>1667</v>
      </c>
      <c r="B234" t="s">
        <v>22</v>
      </c>
      <c r="C234">
        <v>2</v>
      </c>
      <c r="D234">
        <v>75.8</v>
      </c>
      <c r="E234">
        <v>151.6</v>
      </c>
      <c r="F234" s="12">
        <v>45716</v>
      </c>
      <c r="G234" s="12">
        <v>45717</v>
      </c>
      <c r="H234" t="s">
        <v>27</v>
      </c>
      <c r="I234" t="s">
        <v>40</v>
      </c>
      <c r="J234">
        <v>3</v>
      </c>
      <c r="K234" t="s">
        <v>19</v>
      </c>
      <c r="L234" t="s">
        <v>33</v>
      </c>
      <c r="M234">
        <v>1</v>
      </c>
      <c r="N234">
        <v>9</v>
      </c>
      <c r="O234" t="s">
        <v>2530</v>
      </c>
    </row>
    <row r="235" spans="1:15">
      <c r="A235" t="s">
        <v>311</v>
      </c>
      <c r="B235" t="s">
        <v>44</v>
      </c>
      <c r="C235">
        <v>2</v>
      </c>
      <c r="D235">
        <v>22.3</v>
      </c>
      <c r="E235">
        <v>44.6</v>
      </c>
      <c r="F235" s="12">
        <v>45667</v>
      </c>
      <c r="G235" s="12">
        <v>45670</v>
      </c>
      <c r="H235" t="s">
        <v>27</v>
      </c>
      <c r="I235" t="s">
        <v>18</v>
      </c>
      <c r="J235">
        <v>5</v>
      </c>
      <c r="K235" t="s">
        <v>19</v>
      </c>
      <c r="L235" t="s">
        <v>113</v>
      </c>
      <c r="M235">
        <v>3</v>
      </c>
      <c r="N235">
        <v>2</v>
      </c>
      <c r="O235" t="s">
        <v>2530</v>
      </c>
    </row>
    <row r="236" spans="1:15">
      <c r="A236" t="s">
        <v>1664</v>
      </c>
      <c r="B236" t="s">
        <v>54</v>
      </c>
      <c r="C236">
        <v>2</v>
      </c>
      <c r="D236">
        <v>46.7</v>
      </c>
      <c r="E236">
        <v>93.4</v>
      </c>
      <c r="F236" s="12">
        <v>45716</v>
      </c>
      <c r="G236" s="12">
        <v>45716</v>
      </c>
      <c r="H236" t="s">
        <v>27</v>
      </c>
      <c r="I236" t="s">
        <v>18</v>
      </c>
      <c r="J236">
        <v>4</v>
      </c>
      <c r="K236" t="s">
        <v>19</v>
      </c>
      <c r="L236" t="s">
        <v>334</v>
      </c>
      <c r="M236">
        <v>0</v>
      </c>
      <c r="N236">
        <v>9</v>
      </c>
      <c r="O236" t="s">
        <v>2530</v>
      </c>
    </row>
    <row r="237" spans="1:15">
      <c r="A237" t="s">
        <v>1662</v>
      </c>
      <c r="B237" t="s">
        <v>171</v>
      </c>
      <c r="C237">
        <v>2</v>
      </c>
      <c r="D237">
        <v>27</v>
      </c>
      <c r="E237">
        <v>54</v>
      </c>
      <c r="F237" s="12">
        <v>45715</v>
      </c>
      <c r="G237" s="12">
        <v>45718</v>
      </c>
      <c r="H237" t="s">
        <v>89</v>
      </c>
      <c r="I237" t="s">
        <v>40</v>
      </c>
      <c r="J237">
        <v>4</v>
      </c>
      <c r="K237" t="s">
        <v>19</v>
      </c>
      <c r="L237" t="s">
        <v>147</v>
      </c>
      <c r="M237">
        <v>3</v>
      </c>
      <c r="N237">
        <v>9</v>
      </c>
      <c r="O237" t="s">
        <v>2532</v>
      </c>
    </row>
    <row r="238" spans="1:15">
      <c r="A238" t="s">
        <v>1651</v>
      </c>
      <c r="B238" t="s">
        <v>44</v>
      </c>
      <c r="C238">
        <v>2</v>
      </c>
      <c r="D238">
        <v>41.6</v>
      </c>
      <c r="E238">
        <v>83.2</v>
      </c>
      <c r="F238" s="12">
        <v>45715</v>
      </c>
      <c r="G238" s="12">
        <v>45719</v>
      </c>
      <c r="H238" t="s">
        <v>23</v>
      </c>
      <c r="I238" t="s">
        <v>35</v>
      </c>
      <c r="J238">
        <v>5</v>
      </c>
      <c r="K238" t="s">
        <v>19</v>
      </c>
      <c r="L238" t="s">
        <v>62</v>
      </c>
      <c r="M238">
        <v>4</v>
      </c>
      <c r="N238">
        <v>9</v>
      </c>
      <c r="O238" t="s">
        <v>2531</v>
      </c>
    </row>
    <row r="239" spans="1:15">
      <c r="A239" t="s">
        <v>1650</v>
      </c>
      <c r="B239" t="s">
        <v>146</v>
      </c>
      <c r="C239">
        <v>2</v>
      </c>
      <c r="D239">
        <v>47</v>
      </c>
      <c r="E239">
        <v>94</v>
      </c>
      <c r="F239" s="12">
        <v>45715</v>
      </c>
      <c r="G239" s="12">
        <v>45717</v>
      </c>
      <c r="H239" t="s">
        <v>23</v>
      </c>
      <c r="I239" t="s">
        <v>70</v>
      </c>
      <c r="J239">
        <v>4</v>
      </c>
      <c r="K239" t="s">
        <v>19</v>
      </c>
      <c r="L239" t="s">
        <v>62</v>
      </c>
      <c r="M239">
        <v>2</v>
      </c>
      <c r="N239">
        <v>9</v>
      </c>
      <c r="O239" t="s">
        <v>2531</v>
      </c>
    </row>
    <row r="240" spans="1:15">
      <c r="A240" t="s">
        <v>1648</v>
      </c>
      <c r="B240" t="s">
        <v>44</v>
      </c>
      <c r="C240">
        <v>2</v>
      </c>
      <c r="D240">
        <v>28.7</v>
      </c>
      <c r="E240">
        <v>57.4</v>
      </c>
      <c r="F240" s="12">
        <v>45715</v>
      </c>
      <c r="G240" s="12">
        <v>45719</v>
      </c>
      <c r="H240" t="s">
        <v>27</v>
      </c>
      <c r="I240" t="s">
        <v>35</v>
      </c>
      <c r="J240">
        <v>4</v>
      </c>
      <c r="K240" t="s">
        <v>19</v>
      </c>
      <c r="L240" t="s">
        <v>55</v>
      </c>
      <c r="M240">
        <v>4</v>
      </c>
      <c r="N240">
        <v>9</v>
      </c>
      <c r="O240" t="s">
        <v>2530</v>
      </c>
    </row>
    <row r="241" spans="1:15">
      <c r="A241" t="s">
        <v>1645</v>
      </c>
      <c r="B241" t="s">
        <v>46</v>
      </c>
      <c r="C241">
        <v>2</v>
      </c>
      <c r="D241">
        <v>59.2</v>
      </c>
      <c r="E241">
        <v>118.4</v>
      </c>
      <c r="F241" s="12">
        <v>45715</v>
      </c>
      <c r="G241" s="12">
        <v>45715</v>
      </c>
      <c r="H241" t="s">
        <v>27</v>
      </c>
      <c r="I241" t="s">
        <v>35</v>
      </c>
      <c r="J241">
        <v>2</v>
      </c>
      <c r="K241" t="s">
        <v>19</v>
      </c>
      <c r="L241" t="s">
        <v>33</v>
      </c>
      <c r="M241">
        <v>0</v>
      </c>
      <c r="N241">
        <v>9</v>
      </c>
      <c r="O241" t="s">
        <v>2530</v>
      </c>
    </row>
    <row r="242" spans="1:15">
      <c r="A242" t="s">
        <v>1634</v>
      </c>
      <c r="B242" t="s">
        <v>67</v>
      </c>
      <c r="C242">
        <v>2</v>
      </c>
      <c r="D242">
        <v>29.5</v>
      </c>
      <c r="E242">
        <v>59</v>
      </c>
      <c r="F242" s="12">
        <v>45714</v>
      </c>
      <c r="G242" s="12">
        <v>45715</v>
      </c>
      <c r="H242" t="s">
        <v>27</v>
      </c>
      <c r="I242" t="s">
        <v>18</v>
      </c>
      <c r="J242">
        <v>5</v>
      </c>
      <c r="K242" t="s">
        <v>19</v>
      </c>
      <c r="L242" t="s">
        <v>82</v>
      </c>
      <c r="M242">
        <v>1</v>
      </c>
      <c r="N242">
        <v>9</v>
      </c>
      <c r="O242" t="s">
        <v>2530</v>
      </c>
    </row>
    <row r="243" spans="1:15">
      <c r="A243" t="s">
        <v>1631</v>
      </c>
      <c r="B243" t="s">
        <v>37</v>
      </c>
      <c r="C243">
        <v>2</v>
      </c>
      <c r="D243">
        <v>32.1</v>
      </c>
      <c r="E243">
        <v>64.2</v>
      </c>
      <c r="F243" s="12">
        <v>45714</v>
      </c>
      <c r="G243" s="12">
        <v>45716</v>
      </c>
      <c r="H243" t="s">
        <v>17</v>
      </c>
      <c r="I243" t="s">
        <v>51</v>
      </c>
      <c r="J243">
        <v>4</v>
      </c>
      <c r="K243" t="s">
        <v>19</v>
      </c>
      <c r="L243" t="s">
        <v>74</v>
      </c>
      <c r="M243">
        <v>2</v>
      </c>
      <c r="N243">
        <v>9</v>
      </c>
      <c r="O243" t="s">
        <v>2533</v>
      </c>
    </row>
    <row r="244" spans="1:15">
      <c r="A244" t="s">
        <v>1628</v>
      </c>
      <c r="B244" t="s">
        <v>42</v>
      </c>
      <c r="C244">
        <v>2</v>
      </c>
      <c r="D244">
        <v>78.599999999999994</v>
      </c>
      <c r="E244">
        <v>157.19999999999999</v>
      </c>
      <c r="F244" s="12">
        <v>45714</v>
      </c>
      <c r="G244" s="12">
        <v>45715</v>
      </c>
      <c r="H244" t="s">
        <v>23</v>
      </c>
      <c r="I244" t="s">
        <v>18</v>
      </c>
      <c r="J244">
        <v>5</v>
      </c>
      <c r="K244" t="s">
        <v>19</v>
      </c>
      <c r="L244" t="s">
        <v>72</v>
      </c>
      <c r="M244">
        <v>1</v>
      </c>
      <c r="N244">
        <v>9</v>
      </c>
      <c r="O244" t="s">
        <v>2531</v>
      </c>
    </row>
    <row r="245" spans="1:15">
      <c r="A245" t="s">
        <v>1627</v>
      </c>
      <c r="B245" t="s">
        <v>22</v>
      </c>
      <c r="C245">
        <v>2</v>
      </c>
      <c r="D245">
        <v>54.8</v>
      </c>
      <c r="E245">
        <v>109.6</v>
      </c>
      <c r="F245" s="12">
        <v>45714</v>
      </c>
      <c r="G245" s="12">
        <v>45714</v>
      </c>
      <c r="H245" t="s">
        <v>23</v>
      </c>
      <c r="I245" t="s">
        <v>18</v>
      </c>
      <c r="J245">
        <v>3</v>
      </c>
      <c r="K245" t="s">
        <v>19</v>
      </c>
      <c r="L245" t="s">
        <v>201</v>
      </c>
      <c r="M245">
        <v>0</v>
      </c>
      <c r="N245">
        <v>9</v>
      </c>
      <c r="O245" t="s">
        <v>2531</v>
      </c>
    </row>
    <row r="246" spans="1:15">
      <c r="A246" t="s">
        <v>1623</v>
      </c>
      <c r="B246" t="s">
        <v>37</v>
      </c>
      <c r="C246">
        <v>2</v>
      </c>
      <c r="D246">
        <v>124.1</v>
      </c>
      <c r="E246">
        <v>248.2</v>
      </c>
      <c r="F246" s="12">
        <v>45714</v>
      </c>
      <c r="G246" s="12">
        <v>45717</v>
      </c>
      <c r="H246" t="s">
        <v>27</v>
      </c>
      <c r="I246" t="s">
        <v>18</v>
      </c>
      <c r="J246">
        <v>5</v>
      </c>
      <c r="K246" t="s">
        <v>19</v>
      </c>
      <c r="L246" t="s">
        <v>62</v>
      </c>
      <c r="M246">
        <v>3</v>
      </c>
      <c r="N246">
        <v>9</v>
      </c>
      <c r="O246" t="s">
        <v>2530</v>
      </c>
    </row>
    <row r="247" spans="1:15">
      <c r="A247" t="s">
        <v>323</v>
      </c>
      <c r="B247" t="s">
        <v>44</v>
      </c>
      <c r="C247">
        <v>2</v>
      </c>
      <c r="D247">
        <v>36.4</v>
      </c>
      <c r="E247">
        <v>72.8</v>
      </c>
      <c r="F247" s="12">
        <v>45668</v>
      </c>
      <c r="G247" s="12">
        <v>45669</v>
      </c>
      <c r="H247" t="s">
        <v>23</v>
      </c>
      <c r="I247" t="s">
        <v>35</v>
      </c>
      <c r="J247">
        <v>3</v>
      </c>
      <c r="K247" t="s">
        <v>19</v>
      </c>
      <c r="L247" t="s">
        <v>72</v>
      </c>
      <c r="M247">
        <v>1</v>
      </c>
      <c r="N247">
        <v>2</v>
      </c>
      <c r="O247" t="s">
        <v>2531</v>
      </c>
    </row>
    <row r="248" spans="1:15">
      <c r="A248" t="s">
        <v>1618</v>
      </c>
      <c r="B248" t="s">
        <v>26</v>
      </c>
      <c r="C248">
        <v>2</v>
      </c>
      <c r="D248">
        <v>121</v>
      </c>
      <c r="E248">
        <v>242</v>
      </c>
      <c r="F248" s="12">
        <v>45714</v>
      </c>
      <c r="G248" s="12">
        <v>45715</v>
      </c>
      <c r="H248" t="s">
        <v>27</v>
      </c>
      <c r="I248" t="s">
        <v>35</v>
      </c>
      <c r="J248">
        <v>3</v>
      </c>
      <c r="K248" t="s">
        <v>19</v>
      </c>
      <c r="L248" t="s">
        <v>33</v>
      </c>
      <c r="M248">
        <v>1</v>
      </c>
      <c r="N248">
        <v>9</v>
      </c>
      <c r="O248" t="s">
        <v>2530</v>
      </c>
    </row>
    <row r="249" spans="1:15">
      <c r="A249" t="s">
        <v>1613</v>
      </c>
      <c r="B249" t="s">
        <v>44</v>
      </c>
      <c r="C249">
        <v>2</v>
      </c>
      <c r="D249">
        <v>26.3</v>
      </c>
      <c r="E249">
        <v>52.6</v>
      </c>
      <c r="F249" s="12">
        <v>45714</v>
      </c>
      <c r="G249" s="12">
        <v>45716</v>
      </c>
      <c r="H249" t="s">
        <v>27</v>
      </c>
      <c r="I249" t="s">
        <v>18</v>
      </c>
      <c r="J249">
        <v>3</v>
      </c>
      <c r="K249" t="s">
        <v>19</v>
      </c>
      <c r="L249" t="s">
        <v>33</v>
      </c>
      <c r="M249">
        <v>2</v>
      </c>
      <c r="N249">
        <v>9</v>
      </c>
      <c r="O249" t="s">
        <v>2530</v>
      </c>
    </row>
    <row r="250" spans="1:15">
      <c r="A250" t="s">
        <v>1609</v>
      </c>
      <c r="B250" t="s">
        <v>26</v>
      </c>
      <c r="C250">
        <v>2</v>
      </c>
      <c r="D250">
        <v>73.8</v>
      </c>
      <c r="E250">
        <v>147.6</v>
      </c>
      <c r="F250" s="12">
        <v>45713</v>
      </c>
      <c r="G250" s="12">
        <v>45713</v>
      </c>
      <c r="H250" t="s">
        <v>23</v>
      </c>
      <c r="I250" t="s">
        <v>51</v>
      </c>
      <c r="J250">
        <v>5</v>
      </c>
      <c r="K250" t="s">
        <v>19</v>
      </c>
      <c r="L250" t="s">
        <v>33</v>
      </c>
      <c r="M250">
        <v>0</v>
      </c>
      <c r="N250">
        <v>9</v>
      </c>
      <c r="O250" t="s">
        <v>2531</v>
      </c>
    </row>
    <row r="251" spans="1:15">
      <c r="A251" t="s">
        <v>1606</v>
      </c>
      <c r="B251" t="s">
        <v>171</v>
      </c>
      <c r="C251">
        <v>2</v>
      </c>
      <c r="D251">
        <v>17</v>
      </c>
      <c r="E251">
        <v>34</v>
      </c>
      <c r="F251" s="12">
        <v>45713</v>
      </c>
      <c r="G251" s="12">
        <v>45714</v>
      </c>
      <c r="H251" t="s">
        <v>23</v>
      </c>
      <c r="I251" t="s">
        <v>51</v>
      </c>
      <c r="J251">
        <v>4</v>
      </c>
      <c r="K251" t="s">
        <v>19</v>
      </c>
      <c r="L251" t="s">
        <v>115</v>
      </c>
      <c r="M251">
        <v>1</v>
      </c>
      <c r="N251">
        <v>9</v>
      </c>
      <c r="O251" t="s">
        <v>2531</v>
      </c>
    </row>
    <row r="252" spans="1:15">
      <c r="A252" t="s">
        <v>1605</v>
      </c>
      <c r="B252" t="s">
        <v>69</v>
      </c>
      <c r="C252">
        <v>2</v>
      </c>
      <c r="D252">
        <v>53.8</v>
      </c>
      <c r="E252">
        <v>107.6</v>
      </c>
      <c r="F252" s="12">
        <v>45713</v>
      </c>
      <c r="G252" s="12">
        <v>45718</v>
      </c>
      <c r="H252" t="s">
        <v>27</v>
      </c>
      <c r="I252" t="s">
        <v>18</v>
      </c>
      <c r="J252">
        <v>5</v>
      </c>
      <c r="K252" t="s">
        <v>19</v>
      </c>
      <c r="L252" t="s">
        <v>115</v>
      </c>
      <c r="M252">
        <v>5</v>
      </c>
      <c r="N252">
        <v>9</v>
      </c>
      <c r="O252" t="s">
        <v>2530</v>
      </c>
    </row>
    <row r="253" spans="1:15">
      <c r="A253" t="s">
        <v>1602</v>
      </c>
      <c r="B253" t="s">
        <v>22</v>
      </c>
      <c r="C253">
        <v>2</v>
      </c>
      <c r="D253">
        <v>30.9</v>
      </c>
      <c r="E253">
        <v>61.8</v>
      </c>
      <c r="F253" s="12">
        <v>45713</v>
      </c>
      <c r="G253" s="12">
        <v>45715</v>
      </c>
      <c r="H253" t="s">
        <v>27</v>
      </c>
      <c r="I253" t="s">
        <v>35</v>
      </c>
      <c r="J253">
        <v>4</v>
      </c>
      <c r="K253" t="s">
        <v>19</v>
      </c>
      <c r="L253" t="s">
        <v>108</v>
      </c>
      <c r="M253">
        <v>2</v>
      </c>
      <c r="N253">
        <v>9</v>
      </c>
      <c r="O253" t="s">
        <v>2530</v>
      </c>
    </row>
    <row r="254" spans="1:15">
      <c r="A254" t="s">
        <v>1600</v>
      </c>
      <c r="B254" t="s">
        <v>76</v>
      </c>
      <c r="C254">
        <v>2</v>
      </c>
      <c r="D254">
        <v>37.5</v>
      </c>
      <c r="E254">
        <v>75</v>
      </c>
      <c r="F254" s="12">
        <v>45713</v>
      </c>
      <c r="G254" s="12">
        <v>45716</v>
      </c>
      <c r="H254" t="s">
        <v>27</v>
      </c>
      <c r="I254" t="s">
        <v>35</v>
      </c>
      <c r="J254">
        <v>5</v>
      </c>
      <c r="K254" t="s">
        <v>19</v>
      </c>
      <c r="L254" t="s">
        <v>103</v>
      </c>
      <c r="M254">
        <v>3</v>
      </c>
      <c r="N254">
        <v>9</v>
      </c>
      <c r="O254" t="s">
        <v>2530</v>
      </c>
    </row>
    <row r="255" spans="1:15">
      <c r="A255" t="s">
        <v>332</v>
      </c>
      <c r="B255" t="s">
        <v>16</v>
      </c>
      <c r="C255">
        <v>2</v>
      </c>
      <c r="D255">
        <v>33.4</v>
      </c>
      <c r="E255">
        <v>66.8</v>
      </c>
      <c r="F255" s="12">
        <v>45668</v>
      </c>
      <c r="G255" s="12">
        <v>45669</v>
      </c>
      <c r="H255" t="s">
        <v>23</v>
      </c>
      <c r="I255" t="s">
        <v>35</v>
      </c>
      <c r="J255">
        <v>3</v>
      </c>
      <c r="K255" t="s">
        <v>19</v>
      </c>
      <c r="L255" t="s">
        <v>147</v>
      </c>
      <c r="M255">
        <v>1</v>
      </c>
      <c r="N255">
        <v>2</v>
      </c>
      <c r="O255" t="s">
        <v>2531</v>
      </c>
    </row>
    <row r="256" spans="1:15">
      <c r="A256" t="s">
        <v>333</v>
      </c>
      <c r="B256" t="s">
        <v>42</v>
      </c>
      <c r="C256">
        <v>2</v>
      </c>
      <c r="D256">
        <v>45.1</v>
      </c>
      <c r="E256">
        <v>90.2</v>
      </c>
      <c r="F256" s="12">
        <v>45668</v>
      </c>
      <c r="G256" s="12">
        <v>45676</v>
      </c>
      <c r="H256" t="s">
        <v>23</v>
      </c>
      <c r="I256" t="s">
        <v>18</v>
      </c>
      <c r="J256">
        <v>4</v>
      </c>
      <c r="K256" t="s">
        <v>19</v>
      </c>
      <c r="L256" t="s">
        <v>334</v>
      </c>
      <c r="M256">
        <v>8</v>
      </c>
      <c r="N256">
        <v>2</v>
      </c>
      <c r="O256" t="s">
        <v>2531</v>
      </c>
    </row>
    <row r="257" spans="1:15">
      <c r="A257" t="s">
        <v>1592</v>
      </c>
      <c r="B257" t="s">
        <v>32</v>
      </c>
      <c r="C257">
        <v>2</v>
      </c>
      <c r="D257">
        <v>38</v>
      </c>
      <c r="E257">
        <v>76</v>
      </c>
      <c r="F257" s="12">
        <v>45713</v>
      </c>
      <c r="G257" s="12">
        <v>45715</v>
      </c>
      <c r="H257" t="s">
        <v>27</v>
      </c>
      <c r="I257" t="s">
        <v>35</v>
      </c>
      <c r="J257">
        <v>4</v>
      </c>
      <c r="K257" t="s">
        <v>19</v>
      </c>
      <c r="L257" t="s">
        <v>52</v>
      </c>
      <c r="M257">
        <v>2</v>
      </c>
      <c r="N257">
        <v>9</v>
      </c>
      <c r="O257" t="s">
        <v>2530</v>
      </c>
    </row>
    <row r="258" spans="1:15">
      <c r="A258" t="s">
        <v>1587</v>
      </c>
      <c r="B258" t="s">
        <v>69</v>
      </c>
      <c r="C258">
        <v>2</v>
      </c>
      <c r="D258">
        <v>99.5</v>
      </c>
      <c r="E258">
        <v>199</v>
      </c>
      <c r="F258" s="12">
        <v>45713</v>
      </c>
      <c r="G258" s="12">
        <v>45715</v>
      </c>
      <c r="H258" t="s">
        <v>27</v>
      </c>
      <c r="I258" t="s">
        <v>40</v>
      </c>
      <c r="J258">
        <v>4</v>
      </c>
      <c r="K258" t="s">
        <v>19</v>
      </c>
      <c r="L258" t="s">
        <v>33</v>
      </c>
      <c r="M258">
        <v>2</v>
      </c>
      <c r="N258">
        <v>9</v>
      </c>
      <c r="O258" t="s">
        <v>2530</v>
      </c>
    </row>
    <row r="259" spans="1:15">
      <c r="A259" t="s">
        <v>1580</v>
      </c>
      <c r="B259" t="s">
        <v>26</v>
      </c>
      <c r="C259">
        <v>2</v>
      </c>
      <c r="D259">
        <v>125.9</v>
      </c>
      <c r="E259">
        <v>251.8</v>
      </c>
      <c r="F259" s="12">
        <v>45713</v>
      </c>
      <c r="G259" s="12">
        <v>45718</v>
      </c>
      <c r="H259" t="s">
        <v>27</v>
      </c>
      <c r="I259" t="s">
        <v>70</v>
      </c>
      <c r="J259">
        <v>3</v>
      </c>
      <c r="K259" t="s">
        <v>19</v>
      </c>
      <c r="L259" t="s">
        <v>24</v>
      </c>
      <c r="M259">
        <v>5</v>
      </c>
      <c r="N259">
        <v>9</v>
      </c>
      <c r="O259" t="s">
        <v>2530</v>
      </c>
    </row>
    <row r="260" spans="1:15">
      <c r="A260" t="s">
        <v>1575</v>
      </c>
      <c r="B260" t="s">
        <v>32</v>
      </c>
      <c r="C260">
        <v>2</v>
      </c>
      <c r="D260">
        <v>20.5</v>
      </c>
      <c r="E260">
        <v>41</v>
      </c>
      <c r="F260" s="12">
        <v>45712</v>
      </c>
      <c r="G260" s="12">
        <v>45715</v>
      </c>
      <c r="H260" t="s">
        <v>27</v>
      </c>
      <c r="I260" t="s">
        <v>18</v>
      </c>
      <c r="J260">
        <v>3</v>
      </c>
      <c r="K260" t="s">
        <v>19</v>
      </c>
      <c r="L260" t="s">
        <v>77</v>
      </c>
      <c r="M260">
        <v>3</v>
      </c>
      <c r="N260">
        <v>9</v>
      </c>
      <c r="O260" t="s">
        <v>2530</v>
      </c>
    </row>
    <row r="261" spans="1:15">
      <c r="A261" t="s">
        <v>340</v>
      </c>
      <c r="B261" t="s">
        <v>81</v>
      </c>
      <c r="C261">
        <v>2</v>
      </c>
      <c r="D261">
        <v>11.3</v>
      </c>
      <c r="E261">
        <v>22.6</v>
      </c>
      <c r="F261" s="12">
        <v>45669</v>
      </c>
      <c r="G261" s="12">
        <v>45672</v>
      </c>
      <c r="H261" t="s">
        <v>27</v>
      </c>
      <c r="I261" t="s">
        <v>51</v>
      </c>
      <c r="J261">
        <v>5</v>
      </c>
      <c r="K261" t="s">
        <v>19</v>
      </c>
      <c r="L261" t="s">
        <v>158</v>
      </c>
      <c r="M261">
        <v>3</v>
      </c>
      <c r="N261">
        <v>3</v>
      </c>
      <c r="O261" t="s">
        <v>2530</v>
      </c>
    </row>
    <row r="262" spans="1:15">
      <c r="A262" t="s">
        <v>1572</v>
      </c>
      <c r="B262" t="s">
        <v>32</v>
      </c>
      <c r="C262">
        <v>2</v>
      </c>
      <c r="D262">
        <v>33.6</v>
      </c>
      <c r="E262">
        <v>67.2</v>
      </c>
      <c r="F262" s="12">
        <v>45712</v>
      </c>
      <c r="G262" s="12">
        <v>45714</v>
      </c>
      <c r="H262" t="s">
        <v>27</v>
      </c>
      <c r="I262" t="s">
        <v>18</v>
      </c>
      <c r="J262">
        <v>4</v>
      </c>
      <c r="K262" t="s">
        <v>19</v>
      </c>
      <c r="L262" t="s">
        <v>103</v>
      </c>
      <c r="M262">
        <v>2</v>
      </c>
      <c r="N262">
        <v>9</v>
      </c>
      <c r="O262" t="s">
        <v>2530</v>
      </c>
    </row>
    <row r="263" spans="1:15">
      <c r="A263" t="s">
        <v>1564</v>
      </c>
      <c r="B263" t="s">
        <v>46</v>
      </c>
      <c r="C263">
        <v>2</v>
      </c>
      <c r="D263">
        <v>31.1</v>
      </c>
      <c r="E263">
        <v>62.2</v>
      </c>
      <c r="F263" s="12">
        <v>45712</v>
      </c>
      <c r="G263" s="12">
        <v>45717</v>
      </c>
      <c r="H263" t="s">
        <v>17</v>
      </c>
      <c r="I263" t="s">
        <v>35</v>
      </c>
      <c r="J263">
        <v>1</v>
      </c>
      <c r="K263" t="s">
        <v>19</v>
      </c>
      <c r="L263" t="s">
        <v>158</v>
      </c>
      <c r="M263">
        <v>5</v>
      </c>
      <c r="N263">
        <v>9</v>
      </c>
      <c r="O263" t="s">
        <v>2533</v>
      </c>
    </row>
    <row r="264" spans="1:15">
      <c r="A264" t="s">
        <v>344</v>
      </c>
      <c r="B264" t="s">
        <v>44</v>
      </c>
      <c r="C264">
        <v>2</v>
      </c>
      <c r="D264">
        <v>27.5</v>
      </c>
      <c r="E264">
        <v>55</v>
      </c>
      <c r="F264" s="12">
        <v>45669</v>
      </c>
      <c r="G264" s="12">
        <v>45670</v>
      </c>
      <c r="H264" t="s">
        <v>23</v>
      </c>
      <c r="I264" t="s">
        <v>70</v>
      </c>
      <c r="J264">
        <v>3</v>
      </c>
      <c r="K264" t="s">
        <v>19</v>
      </c>
      <c r="L264" t="s">
        <v>62</v>
      </c>
      <c r="M264">
        <v>1</v>
      </c>
      <c r="N264">
        <v>3</v>
      </c>
      <c r="O264" t="s">
        <v>2531</v>
      </c>
    </row>
    <row r="265" spans="1:15">
      <c r="A265" t="s">
        <v>1562</v>
      </c>
      <c r="B265" t="s">
        <v>44</v>
      </c>
      <c r="C265">
        <v>2</v>
      </c>
      <c r="D265">
        <v>51</v>
      </c>
      <c r="E265">
        <v>102</v>
      </c>
      <c r="F265" s="12">
        <v>45712</v>
      </c>
      <c r="G265" s="12">
        <v>45715</v>
      </c>
      <c r="H265" t="s">
        <v>23</v>
      </c>
      <c r="I265" t="s">
        <v>51</v>
      </c>
      <c r="J265">
        <v>5</v>
      </c>
      <c r="K265" t="s">
        <v>19</v>
      </c>
      <c r="L265" t="s">
        <v>33</v>
      </c>
      <c r="M265">
        <v>3</v>
      </c>
      <c r="N265">
        <v>9</v>
      </c>
      <c r="O265" t="s">
        <v>2531</v>
      </c>
    </row>
    <row r="266" spans="1:15">
      <c r="A266" t="s">
        <v>1561</v>
      </c>
      <c r="B266" t="s">
        <v>46</v>
      </c>
      <c r="C266">
        <v>2</v>
      </c>
      <c r="D266">
        <v>21.8</v>
      </c>
      <c r="E266">
        <v>43.6</v>
      </c>
      <c r="F266" s="12">
        <v>45712</v>
      </c>
      <c r="G266" s="12">
        <v>45716</v>
      </c>
      <c r="H266" t="s">
        <v>23</v>
      </c>
      <c r="I266" t="s">
        <v>70</v>
      </c>
      <c r="J266">
        <v>5</v>
      </c>
      <c r="K266" t="s">
        <v>19</v>
      </c>
      <c r="L266" t="s">
        <v>33</v>
      </c>
      <c r="M266">
        <v>4</v>
      </c>
      <c r="N266">
        <v>9</v>
      </c>
      <c r="O266" t="s">
        <v>2531</v>
      </c>
    </row>
    <row r="267" spans="1:15">
      <c r="A267" t="s">
        <v>1558</v>
      </c>
      <c r="B267" t="s">
        <v>39</v>
      </c>
      <c r="C267">
        <v>2</v>
      </c>
      <c r="D267">
        <v>64.599999999999994</v>
      </c>
      <c r="E267">
        <v>129.19999999999999</v>
      </c>
      <c r="F267" s="12">
        <v>45712</v>
      </c>
      <c r="G267" s="12">
        <v>45713</v>
      </c>
      <c r="H267" t="s">
        <v>23</v>
      </c>
      <c r="I267" t="s">
        <v>18</v>
      </c>
      <c r="J267">
        <v>3</v>
      </c>
      <c r="K267" t="s">
        <v>19</v>
      </c>
      <c r="L267" t="s">
        <v>33</v>
      </c>
      <c r="M267">
        <v>1</v>
      </c>
      <c r="N267">
        <v>9</v>
      </c>
      <c r="O267" t="s">
        <v>2531</v>
      </c>
    </row>
    <row r="268" spans="1:15">
      <c r="A268" t="s">
        <v>1555</v>
      </c>
      <c r="B268" t="s">
        <v>44</v>
      </c>
      <c r="C268">
        <v>2</v>
      </c>
      <c r="D268">
        <v>21.3</v>
      </c>
      <c r="E268">
        <v>42.6</v>
      </c>
      <c r="F268" s="12">
        <v>45712</v>
      </c>
      <c r="G268" s="12">
        <v>45713</v>
      </c>
      <c r="H268" t="s">
        <v>23</v>
      </c>
      <c r="I268" t="s">
        <v>18</v>
      </c>
      <c r="J268">
        <v>3</v>
      </c>
      <c r="K268" t="s">
        <v>19</v>
      </c>
      <c r="L268" t="s">
        <v>33</v>
      </c>
      <c r="M268">
        <v>1</v>
      </c>
      <c r="N268">
        <v>9</v>
      </c>
      <c r="O268" t="s">
        <v>2531</v>
      </c>
    </row>
    <row r="269" spans="1:15">
      <c r="A269" t="s">
        <v>1554</v>
      </c>
      <c r="B269" t="s">
        <v>44</v>
      </c>
      <c r="C269">
        <v>2</v>
      </c>
      <c r="D269">
        <v>30.6</v>
      </c>
      <c r="E269">
        <v>61.2</v>
      </c>
      <c r="F269" s="12">
        <v>45712</v>
      </c>
      <c r="G269" s="12">
        <v>45715</v>
      </c>
      <c r="H269" t="s">
        <v>23</v>
      </c>
      <c r="I269" t="s">
        <v>18</v>
      </c>
      <c r="J269">
        <v>5</v>
      </c>
      <c r="K269" t="s">
        <v>19</v>
      </c>
      <c r="L269" t="s">
        <v>33</v>
      </c>
      <c r="M269">
        <v>3</v>
      </c>
      <c r="N269">
        <v>9</v>
      </c>
      <c r="O269" t="s">
        <v>2531</v>
      </c>
    </row>
    <row r="270" spans="1:15">
      <c r="A270" t="s">
        <v>1553</v>
      </c>
      <c r="B270" t="s">
        <v>37</v>
      </c>
      <c r="C270">
        <v>2</v>
      </c>
      <c r="D270">
        <v>64</v>
      </c>
      <c r="E270">
        <v>128</v>
      </c>
      <c r="F270" s="12">
        <v>45712</v>
      </c>
      <c r="G270" s="12">
        <v>45712</v>
      </c>
      <c r="H270" t="s">
        <v>23</v>
      </c>
      <c r="I270" t="s">
        <v>35</v>
      </c>
      <c r="J270">
        <v>3</v>
      </c>
      <c r="K270" t="s">
        <v>19</v>
      </c>
      <c r="L270" t="s">
        <v>33</v>
      </c>
      <c r="M270">
        <v>0</v>
      </c>
      <c r="N270">
        <v>9</v>
      </c>
      <c r="O270" t="s">
        <v>2531</v>
      </c>
    </row>
    <row r="271" spans="1:15">
      <c r="A271" t="s">
        <v>1547</v>
      </c>
      <c r="B271" t="s">
        <v>54</v>
      </c>
      <c r="C271">
        <v>2</v>
      </c>
      <c r="D271">
        <v>39.799999999999997</v>
      </c>
      <c r="E271">
        <v>79.599999999999994</v>
      </c>
      <c r="F271" s="12">
        <v>45711</v>
      </c>
      <c r="G271" s="12">
        <v>45714</v>
      </c>
      <c r="H271" t="s">
        <v>23</v>
      </c>
      <c r="I271" t="s">
        <v>51</v>
      </c>
      <c r="J271">
        <v>3</v>
      </c>
      <c r="K271" t="s">
        <v>19</v>
      </c>
      <c r="L271" t="s">
        <v>82</v>
      </c>
      <c r="M271">
        <v>3</v>
      </c>
      <c r="N271">
        <v>9</v>
      </c>
      <c r="O271" t="s">
        <v>2531</v>
      </c>
    </row>
    <row r="272" spans="1:15">
      <c r="A272" t="s">
        <v>1542</v>
      </c>
      <c r="B272" t="s">
        <v>32</v>
      </c>
      <c r="C272">
        <v>2</v>
      </c>
      <c r="D272">
        <v>19.8</v>
      </c>
      <c r="E272">
        <v>39.6</v>
      </c>
      <c r="F272" s="12">
        <v>45711</v>
      </c>
      <c r="G272" s="12">
        <v>45715</v>
      </c>
      <c r="H272" t="s">
        <v>27</v>
      </c>
      <c r="I272" t="s">
        <v>70</v>
      </c>
      <c r="J272">
        <v>3</v>
      </c>
      <c r="K272" t="s">
        <v>19</v>
      </c>
      <c r="L272" t="s">
        <v>62</v>
      </c>
      <c r="M272">
        <v>4</v>
      </c>
      <c r="N272">
        <v>9</v>
      </c>
      <c r="O272" t="s">
        <v>2530</v>
      </c>
    </row>
    <row r="273" spans="1:15">
      <c r="A273" t="s">
        <v>1533</v>
      </c>
      <c r="B273" t="s">
        <v>16</v>
      </c>
      <c r="C273">
        <v>2</v>
      </c>
      <c r="D273">
        <v>24.2</v>
      </c>
      <c r="E273">
        <v>48.4</v>
      </c>
      <c r="F273" s="12">
        <v>45711</v>
      </c>
      <c r="G273" s="12">
        <v>45713</v>
      </c>
      <c r="H273" t="s">
        <v>27</v>
      </c>
      <c r="I273" t="s">
        <v>51</v>
      </c>
      <c r="J273">
        <v>5</v>
      </c>
      <c r="K273" t="s">
        <v>19</v>
      </c>
      <c r="L273" t="s">
        <v>33</v>
      </c>
      <c r="M273">
        <v>2</v>
      </c>
      <c r="N273">
        <v>9</v>
      </c>
      <c r="O273" t="s">
        <v>2530</v>
      </c>
    </row>
    <row r="274" spans="1:15">
      <c r="A274" t="s">
        <v>1532</v>
      </c>
      <c r="B274" t="s">
        <v>171</v>
      </c>
      <c r="C274">
        <v>2</v>
      </c>
      <c r="D274">
        <v>29.8</v>
      </c>
      <c r="E274">
        <v>59.6</v>
      </c>
      <c r="F274" s="12">
        <v>45711</v>
      </c>
      <c r="G274" s="12">
        <v>45713</v>
      </c>
      <c r="H274" t="s">
        <v>27</v>
      </c>
      <c r="I274" t="s">
        <v>35</v>
      </c>
      <c r="J274">
        <v>5</v>
      </c>
      <c r="K274" t="s">
        <v>19</v>
      </c>
      <c r="L274" t="s">
        <v>334</v>
      </c>
      <c r="M274">
        <v>2</v>
      </c>
      <c r="N274">
        <v>9</v>
      </c>
      <c r="O274" t="s">
        <v>2530</v>
      </c>
    </row>
    <row r="275" spans="1:15">
      <c r="A275" t="s">
        <v>1529</v>
      </c>
      <c r="B275" t="s">
        <v>39</v>
      </c>
      <c r="C275">
        <v>2</v>
      </c>
      <c r="D275">
        <v>92.1</v>
      </c>
      <c r="E275">
        <v>184.2</v>
      </c>
      <c r="F275" s="12">
        <v>45711</v>
      </c>
      <c r="G275" s="12">
        <v>45713</v>
      </c>
      <c r="H275" t="s">
        <v>23</v>
      </c>
      <c r="I275" t="s">
        <v>35</v>
      </c>
      <c r="J275">
        <v>4</v>
      </c>
      <c r="K275" t="s">
        <v>19</v>
      </c>
      <c r="L275" t="s">
        <v>115</v>
      </c>
      <c r="M275">
        <v>2</v>
      </c>
      <c r="N275">
        <v>9</v>
      </c>
      <c r="O275" t="s">
        <v>2531</v>
      </c>
    </row>
    <row r="276" spans="1:15">
      <c r="A276" t="s">
        <v>1520</v>
      </c>
      <c r="B276" t="s">
        <v>46</v>
      </c>
      <c r="C276">
        <v>2</v>
      </c>
      <c r="D276">
        <v>54.2</v>
      </c>
      <c r="E276">
        <v>108.4</v>
      </c>
      <c r="F276" s="12">
        <v>45711</v>
      </c>
      <c r="G276" s="12">
        <v>45712</v>
      </c>
      <c r="H276" t="s">
        <v>27</v>
      </c>
      <c r="I276" t="s">
        <v>35</v>
      </c>
      <c r="J276">
        <v>4</v>
      </c>
      <c r="K276" t="s">
        <v>19</v>
      </c>
      <c r="L276" t="s">
        <v>62</v>
      </c>
      <c r="M276">
        <v>1</v>
      </c>
      <c r="N276">
        <v>9</v>
      </c>
      <c r="O276" t="s">
        <v>2530</v>
      </c>
    </row>
    <row r="277" spans="1:15">
      <c r="A277" t="s">
        <v>1514</v>
      </c>
      <c r="B277" t="s">
        <v>39</v>
      </c>
      <c r="C277">
        <v>2</v>
      </c>
      <c r="D277">
        <v>115.2</v>
      </c>
      <c r="E277">
        <v>230.4</v>
      </c>
      <c r="F277" s="12">
        <v>45711</v>
      </c>
      <c r="G277" s="12">
        <v>45712</v>
      </c>
      <c r="H277" t="s">
        <v>27</v>
      </c>
      <c r="I277" t="s">
        <v>35</v>
      </c>
      <c r="J277">
        <v>4</v>
      </c>
      <c r="K277" t="s">
        <v>19</v>
      </c>
      <c r="L277" t="s">
        <v>49</v>
      </c>
      <c r="M277">
        <v>1</v>
      </c>
      <c r="N277">
        <v>9</v>
      </c>
      <c r="O277" t="s">
        <v>2530</v>
      </c>
    </row>
    <row r="278" spans="1:15">
      <c r="A278" t="s">
        <v>1510</v>
      </c>
      <c r="B278" t="s">
        <v>32</v>
      </c>
      <c r="C278">
        <v>2</v>
      </c>
      <c r="D278">
        <v>44</v>
      </c>
      <c r="E278">
        <v>88</v>
      </c>
      <c r="F278" s="12">
        <v>45710</v>
      </c>
      <c r="G278" s="12">
        <v>45711</v>
      </c>
      <c r="H278" t="s">
        <v>89</v>
      </c>
      <c r="I278" t="s">
        <v>70</v>
      </c>
      <c r="J278">
        <v>3</v>
      </c>
      <c r="K278" t="s">
        <v>19</v>
      </c>
      <c r="L278" t="s">
        <v>33</v>
      </c>
      <c r="M278">
        <v>1</v>
      </c>
      <c r="N278">
        <v>8</v>
      </c>
      <c r="O278" t="s">
        <v>2532</v>
      </c>
    </row>
    <row r="279" spans="1:15">
      <c r="A279" t="s">
        <v>1505</v>
      </c>
      <c r="B279" t="s">
        <v>22</v>
      </c>
      <c r="C279">
        <v>2</v>
      </c>
      <c r="D279">
        <v>33.799999999999997</v>
      </c>
      <c r="E279">
        <v>67.599999999999994</v>
      </c>
      <c r="F279" s="12">
        <v>45710</v>
      </c>
      <c r="G279" s="12">
        <v>45714</v>
      </c>
      <c r="H279" t="s">
        <v>27</v>
      </c>
      <c r="I279" t="s">
        <v>35</v>
      </c>
      <c r="J279">
        <v>4</v>
      </c>
      <c r="K279" t="s">
        <v>19</v>
      </c>
      <c r="L279" t="s">
        <v>33</v>
      </c>
      <c r="M279">
        <v>4</v>
      </c>
      <c r="N279">
        <v>8</v>
      </c>
      <c r="O279" t="s">
        <v>2530</v>
      </c>
    </row>
    <row r="280" spans="1:15">
      <c r="A280" t="s">
        <v>1500</v>
      </c>
      <c r="B280" t="s">
        <v>16</v>
      </c>
      <c r="C280">
        <v>2</v>
      </c>
      <c r="D280">
        <v>40.799999999999997</v>
      </c>
      <c r="E280">
        <v>81.599999999999994</v>
      </c>
      <c r="F280" s="12">
        <v>45710</v>
      </c>
      <c r="G280" s="12">
        <v>45713</v>
      </c>
      <c r="H280" t="s">
        <v>23</v>
      </c>
      <c r="I280" t="s">
        <v>18</v>
      </c>
      <c r="J280">
        <v>4</v>
      </c>
      <c r="K280" t="s">
        <v>19</v>
      </c>
      <c r="L280" t="s">
        <v>33</v>
      </c>
      <c r="M280">
        <v>3</v>
      </c>
      <c r="N280">
        <v>8</v>
      </c>
      <c r="O280" t="s">
        <v>2531</v>
      </c>
    </row>
    <row r="281" spans="1:15">
      <c r="A281" t="s">
        <v>1494</v>
      </c>
      <c r="B281" t="s">
        <v>54</v>
      </c>
      <c r="C281">
        <v>2</v>
      </c>
      <c r="D281">
        <v>39.1</v>
      </c>
      <c r="E281">
        <v>78.2</v>
      </c>
      <c r="F281" s="12">
        <v>45710</v>
      </c>
      <c r="G281" s="12">
        <v>45713</v>
      </c>
      <c r="H281" t="s">
        <v>23</v>
      </c>
      <c r="I281" t="s">
        <v>18</v>
      </c>
      <c r="J281">
        <v>4</v>
      </c>
      <c r="K281" t="s">
        <v>19</v>
      </c>
      <c r="L281" t="s">
        <v>587</v>
      </c>
      <c r="M281">
        <v>3</v>
      </c>
      <c r="N281">
        <v>8</v>
      </c>
      <c r="O281" t="s">
        <v>2531</v>
      </c>
    </row>
    <row r="282" spans="1:15">
      <c r="A282" t="s">
        <v>362</v>
      </c>
      <c r="B282" t="s">
        <v>81</v>
      </c>
      <c r="C282">
        <v>2</v>
      </c>
      <c r="D282">
        <v>24.5</v>
      </c>
      <c r="E282">
        <v>49</v>
      </c>
      <c r="F282" s="12">
        <v>45670</v>
      </c>
      <c r="G282" s="12">
        <v>45671</v>
      </c>
      <c r="H282" t="s">
        <v>23</v>
      </c>
      <c r="I282" t="s">
        <v>51</v>
      </c>
      <c r="J282">
        <v>5</v>
      </c>
      <c r="K282" t="s">
        <v>19</v>
      </c>
      <c r="L282" t="s">
        <v>33</v>
      </c>
      <c r="M282">
        <v>1</v>
      </c>
      <c r="N282">
        <v>3</v>
      </c>
      <c r="O282" t="s">
        <v>2531</v>
      </c>
    </row>
    <row r="283" spans="1:15">
      <c r="A283" t="s">
        <v>1490</v>
      </c>
      <c r="B283" t="s">
        <v>42</v>
      </c>
      <c r="C283">
        <v>2</v>
      </c>
      <c r="D283">
        <v>76.7</v>
      </c>
      <c r="E283">
        <v>153.4</v>
      </c>
      <c r="F283" s="12">
        <v>45710</v>
      </c>
      <c r="G283" s="12">
        <v>45712</v>
      </c>
      <c r="H283" t="s">
        <v>23</v>
      </c>
      <c r="I283" t="s">
        <v>18</v>
      </c>
      <c r="J283">
        <v>3</v>
      </c>
      <c r="K283" t="s">
        <v>19</v>
      </c>
      <c r="L283" t="s">
        <v>115</v>
      </c>
      <c r="M283">
        <v>2</v>
      </c>
      <c r="N283">
        <v>8</v>
      </c>
      <c r="O283" t="s">
        <v>2531</v>
      </c>
    </row>
    <row r="284" spans="1:15">
      <c r="A284" t="s">
        <v>1488</v>
      </c>
      <c r="B284" t="s">
        <v>46</v>
      </c>
      <c r="C284">
        <v>2</v>
      </c>
      <c r="D284">
        <v>91.5</v>
      </c>
      <c r="E284">
        <v>183</v>
      </c>
      <c r="F284" s="12">
        <v>45710</v>
      </c>
      <c r="G284" s="12">
        <v>45711</v>
      </c>
      <c r="H284" t="s">
        <v>23</v>
      </c>
      <c r="I284" t="s">
        <v>18</v>
      </c>
      <c r="J284">
        <v>4</v>
      </c>
      <c r="K284" t="s">
        <v>19</v>
      </c>
      <c r="L284" t="s">
        <v>82</v>
      </c>
      <c r="M284">
        <v>1</v>
      </c>
      <c r="N284">
        <v>8</v>
      </c>
      <c r="O284" t="s">
        <v>2531</v>
      </c>
    </row>
    <row r="285" spans="1:15">
      <c r="A285" t="s">
        <v>1484</v>
      </c>
      <c r="B285" t="s">
        <v>44</v>
      </c>
      <c r="C285">
        <v>2</v>
      </c>
      <c r="D285">
        <v>19.2</v>
      </c>
      <c r="E285">
        <v>38.4</v>
      </c>
      <c r="F285" s="12">
        <v>45709</v>
      </c>
      <c r="G285" s="12">
        <v>45712</v>
      </c>
      <c r="H285" t="s">
        <v>23</v>
      </c>
      <c r="I285" t="s">
        <v>70</v>
      </c>
      <c r="J285">
        <v>5</v>
      </c>
      <c r="K285" t="s">
        <v>19</v>
      </c>
      <c r="L285" t="s">
        <v>72</v>
      </c>
      <c r="M285">
        <v>3</v>
      </c>
      <c r="N285">
        <v>8</v>
      </c>
      <c r="O285" t="s">
        <v>2531</v>
      </c>
    </row>
    <row r="286" spans="1:15">
      <c r="A286" t="s">
        <v>1476</v>
      </c>
      <c r="B286" t="s">
        <v>146</v>
      </c>
      <c r="C286">
        <v>2</v>
      </c>
      <c r="D286">
        <v>68.099999999999994</v>
      </c>
      <c r="E286">
        <v>136.19999999999999</v>
      </c>
      <c r="F286" s="12">
        <v>45709</v>
      </c>
      <c r="G286" s="12">
        <v>45710</v>
      </c>
      <c r="H286" t="s">
        <v>23</v>
      </c>
      <c r="I286" t="s">
        <v>18</v>
      </c>
      <c r="J286">
        <v>3</v>
      </c>
      <c r="K286" t="s">
        <v>19</v>
      </c>
      <c r="L286" t="s">
        <v>55</v>
      </c>
      <c r="M286">
        <v>1</v>
      </c>
      <c r="N286">
        <v>8</v>
      </c>
      <c r="O286" t="s">
        <v>2531</v>
      </c>
    </row>
    <row r="287" spans="1:15">
      <c r="A287" t="s">
        <v>1472</v>
      </c>
      <c r="B287" t="s">
        <v>22</v>
      </c>
      <c r="C287">
        <v>2</v>
      </c>
      <c r="D287">
        <v>40</v>
      </c>
      <c r="E287">
        <v>80</v>
      </c>
      <c r="F287" s="12">
        <v>45709</v>
      </c>
      <c r="G287" s="12">
        <v>45710</v>
      </c>
      <c r="H287" t="s">
        <v>27</v>
      </c>
      <c r="I287" t="s">
        <v>70</v>
      </c>
      <c r="J287">
        <v>3</v>
      </c>
      <c r="K287" t="s">
        <v>19</v>
      </c>
      <c r="L287" t="s">
        <v>158</v>
      </c>
      <c r="M287">
        <v>1</v>
      </c>
      <c r="N287">
        <v>8</v>
      </c>
      <c r="O287" t="s">
        <v>2530</v>
      </c>
    </row>
    <row r="288" spans="1:15">
      <c r="A288" t="s">
        <v>1468</v>
      </c>
      <c r="B288" t="s">
        <v>22</v>
      </c>
      <c r="C288">
        <v>2</v>
      </c>
      <c r="D288">
        <v>105.3</v>
      </c>
      <c r="E288">
        <v>210.6</v>
      </c>
      <c r="F288" s="12">
        <v>45709</v>
      </c>
      <c r="G288" s="12">
        <v>45713</v>
      </c>
      <c r="H288" t="s">
        <v>23</v>
      </c>
      <c r="I288" t="s">
        <v>18</v>
      </c>
      <c r="J288">
        <v>3</v>
      </c>
      <c r="K288" t="s">
        <v>19</v>
      </c>
      <c r="L288" t="s">
        <v>33</v>
      </c>
      <c r="M288">
        <v>4</v>
      </c>
      <c r="N288">
        <v>8</v>
      </c>
      <c r="O288" t="s">
        <v>2531</v>
      </c>
    </row>
    <row r="289" spans="1:15">
      <c r="A289" t="s">
        <v>370</v>
      </c>
      <c r="B289" t="s">
        <v>30</v>
      </c>
      <c r="C289">
        <v>2</v>
      </c>
      <c r="D289">
        <v>71.400000000000006</v>
      </c>
      <c r="E289">
        <v>142.80000000000001</v>
      </c>
      <c r="F289" s="12">
        <v>45670</v>
      </c>
      <c r="G289" s="12">
        <v>45671</v>
      </c>
      <c r="H289" t="s">
        <v>23</v>
      </c>
      <c r="I289" t="s">
        <v>18</v>
      </c>
      <c r="J289">
        <v>4</v>
      </c>
      <c r="K289" t="s">
        <v>19</v>
      </c>
      <c r="L289" t="s">
        <v>59</v>
      </c>
      <c r="M289">
        <v>1</v>
      </c>
      <c r="N289">
        <v>3</v>
      </c>
      <c r="O289" t="s">
        <v>2531</v>
      </c>
    </row>
    <row r="290" spans="1:15">
      <c r="A290" t="s">
        <v>1466</v>
      </c>
      <c r="B290" t="s">
        <v>146</v>
      </c>
      <c r="C290">
        <v>2</v>
      </c>
      <c r="D290">
        <v>56.7</v>
      </c>
      <c r="E290">
        <v>113.4</v>
      </c>
      <c r="F290" s="12">
        <v>45709</v>
      </c>
      <c r="G290" s="12">
        <v>45711</v>
      </c>
      <c r="H290" t="s">
        <v>17</v>
      </c>
      <c r="I290" t="s">
        <v>18</v>
      </c>
      <c r="J290">
        <v>5</v>
      </c>
      <c r="K290" t="s">
        <v>19</v>
      </c>
      <c r="L290" t="s">
        <v>33</v>
      </c>
      <c r="M290">
        <v>2</v>
      </c>
      <c r="N290">
        <v>8</v>
      </c>
      <c r="O290" t="s">
        <v>2533</v>
      </c>
    </row>
    <row r="291" spans="1:15">
      <c r="A291" t="s">
        <v>1465</v>
      </c>
      <c r="B291" t="s">
        <v>26</v>
      </c>
      <c r="C291">
        <v>2</v>
      </c>
      <c r="D291">
        <v>81.7</v>
      </c>
      <c r="E291">
        <v>163.4</v>
      </c>
      <c r="F291" s="12">
        <v>45709</v>
      </c>
      <c r="G291" s="12">
        <v>45709</v>
      </c>
      <c r="H291" t="s">
        <v>23</v>
      </c>
      <c r="I291" t="s">
        <v>18</v>
      </c>
      <c r="J291">
        <v>4</v>
      </c>
      <c r="K291" t="s">
        <v>19</v>
      </c>
      <c r="L291" t="s">
        <v>33</v>
      </c>
      <c r="M291">
        <v>0</v>
      </c>
      <c r="N291">
        <v>8</v>
      </c>
      <c r="O291" t="s">
        <v>2531</v>
      </c>
    </row>
    <row r="292" spans="1:15">
      <c r="A292" t="s">
        <v>1463</v>
      </c>
      <c r="B292" t="s">
        <v>76</v>
      </c>
      <c r="C292">
        <v>2</v>
      </c>
      <c r="D292">
        <v>43.2</v>
      </c>
      <c r="E292">
        <v>86.4</v>
      </c>
      <c r="F292" s="12">
        <v>45709</v>
      </c>
      <c r="G292" s="12">
        <v>45710</v>
      </c>
      <c r="H292" t="s">
        <v>17</v>
      </c>
      <c r="I292" t="s">
        <v>35</v>
      </c>
      <c r="J292">
        <v>3</v>
      </c>
      <c r="K292" t="s">
        <v>19</v>
      </c>
      <c r="L292" t="s">
        <v>24</v>
      </c>
      <c r="M292">
        <v>1</v>
      </c>
      <c r="N292">
        <v>8</v>
      </c>
      <c r="O292" t="s">
        <v>2533</v>
      </c>
    </row>
    <row r="293" spans="1:15">
      <c r="A293" t="s">
        <v>1462</v>
      </c>
      <c r="B293" t="s">
        <v>26</v>
      </c>
      <c r="C293">
        <v>2</v>
      </c>
      <c r="D293">
        <v>78.099999999999994</v>
      </c>
      <c r="E293">
        <v>156.19999999999999</v>
      </c>
      <c r="F293" s="12">
        <v>45709</v>
      </c>
      <c r="G293" s="12">
        <v>45710</v>
      </c>
      <c r="H293" t="s">
        <v>23</v>
      </c>
      <c r="I293" t="s">
        <v>18</v>
      </c>
      <c r="J293">
        <v>4</v>
      </c>
      <c r="K293" t="s">
        <v>19</v>
      </c>
      <c r="L293" t="s">
        <v>24</v>
      </c>
      <c r="M293">
        <v>1</v>
      </c>
      <c r="N293">
        <v>8</v>
      </c>
      <c r="O293" t="s">
        <v>2531</v>
      </c>
    </row>
    <row r="294" spans="1:15">
      <c r="A294" t="s">
        <v>375</v>
      </c>
      <c r="B294" t="s">
        <v>42</v>
      </c>
      <c r="C294">
        <v>2</v>
      </c>
      <c r="D294">
        <v>97.7</v>
      </c>
      <c r="E294">
        <v>195.4</v>
      </c>
      <c r="F294" s="12">
        <v>45670</v>
      </c>
      <c r="G294" s="12">
        <v>45672</v>
      </c>
      <c r="H294" t="s">
        <v>27</v>
      </c>
      <c r="I294" t="s">
        <v>70</v>
      </c>
      <c r="J294">
        <v>5</v>
      </c>
      <c r="K294" t="s">
        <v>19</v>
      </c>
      <c r="L294" t="s">
        <v>103</v>
      </c>
      <c r="M294">
        <v>2</v>
      </c>
      <c r="N294">
        <v>3</v>
      </c>
      <c r="O294" t="s">
        <v>2530</v>
      </c>
    </row>
    <row r="295" spans="1:15">
      <c r="A295" t="s">
        <v>1460</v>
      </c>
      <c r="B295" t="s">
        <v>39</v>
      </c>
      <c r="C295">
        <v>2</v>
      </c>
      <c r="D295">
        <v>127.6</v>
      </c>
      <c r="E295">
        <v>255.2</v>
      </c>
      <c r="F295" s="12">
        <v>45709</v>
      </c>
      <c r="G295" s="12">
        <v>45710</v>
      </c>
      <c r="H295" t="s">
        <v>23</v>
      </c>
      <c r="I295" t="s">
        <v>18</v>
      </c>
      <c r="J295">
        <v>4</v>
      </c>
      <c r="K295" t="s">
        <v>19</v>
      </c>
      <c r="L295" t="s">
        <v>115</v>
      </c>
      <c r="M295">
        <v>1</v>
      </c>
      <c r="N295">
        <v>8</v>
      </c>
      <c r="O295" t="s">
        <v>2531</v>
      </c>
    </row>
    <row r="296" spans="1:15">
      <c r="A296" t="s">
        <v>378</v>
      </c>
      <c r="B296" t="s">
        <v>76</v>
      </c>
      <c r="C296">
        <v>2</v>
      </c>
      <c r="D296">
        <v>20.100000000000001</v>
      </c>
      <c r="E296">
        <v>40.200000000000003</v>
      </c>
      <c r="F296" s="12">
        <v>45670</v>
      </c>
      <c r="G296" s="12">
        <v>45672</v>
      </c>
      <c r="H296" t="s">
        <v>23</v>
      </c>
      <c r="I296" t="s">
        <v>18</v>
      </c>
      <c r="J296">
        <v>5</v>
      </c>
      <c r="K296" t="s">
        <v>19</v>
      </c>
      <c r="L296" t="s">
        <v>113</v>
      </c>
      <c r="M296">
        <v>2</v>
      </c>
      <c r="N296">
        <v>3</v>
      </c>
      <c r="O296" t="s">
        <v>2531</v>
      </c>
    </row>
    <row r="297" spans="1:15">
      <c r="A297" t="s">
        <v>1459</v>
      </c>
      <c r="B297" t="s">
        <v>69</v>
      </c>
      <c r="C297">
        <v>2</v>
      </c>
      <c r="D297">
        <v>70.8</v>
      </c>
      <c r="E297">
        <v>141.6</v>
      </c>
      <c r="F297" s="12">
        <v>45709</v>
      </c>
      <c r="G297" s="12">
        <v>45710</v>
      </c>
      <c r="H297" t="s">
        <v>17</v>
      </c>
      <c r="I297" t="s">
        <v>18</v>
      </c>
      <c r="J297">
        <v>4</v>
      </c>
      <c r="K297" t="s">
        <v>19</v>
      </c>
      <c r="L297" t="s">
        <v>243</v>
      </c>
      <c r="M297">
        <v>1</v>
      </c>
      <c r="N297">
        <v>8</v>
      </c>
      <c r="O297" t="s">
        <v>2533</v>
      </c>
    </row>
    <row r="298" spans="1:15">
      <c r="A298" t="s">
        <v>1445</v>
      </c>
      <c r="B298" t="s">
        <v>16</v>
      </c>
      <c r="C298">
        <v>2</v>
      </c>
      <c r="D298">
        <v>17.2</v>
      </c>
      <c r="E298">
        <v>34.4</v>
      </c>
      <c r="F298" s="12">
        <v>45708</v>
      </c>
      <c r="G298" s="12">
        <v>45711</v>
      </c>
      <c r="H298" t="s">
        <v>23</v>
      </c>
      <c r="I298" t="s">
        <v>40</v>
      </c>
      <c r="J298">
        <v>3</v>
      </c>
      <c r="K298" t="s">
        <v>19</v>
      </c>
      <c r="L298" t="s">
        <v>62</v>
      </c>
      <c r="M298">
        <v>3</v>
      </c>
      <c r="N298">
        <v>8</v>
      </c>
      <c r="O298" t="s">
        <v>2531</v>
      </c>
    </row>
    <row r="299" spans="1:15">
      <c r="A299" t="s">
        <v>1440</v>
      </c>
      <c r="B299" t="s">
        <v>42</v>
      </c>
      <c r="C299">
        <v>2</v>
      </c>
      <c r="D299">
        <v>62.4</v>
      </c>
      <c r="E299">
        <v>124.8</v>
      </c>
      <c r="F299" s="12">
        <v>45708</v>
      </c>
      <c r="G299" s="12">
        <v>45709</v>
      </c>
      <c r="H299" t="s">
        <v>27</v>
      </c>
      <c r="I299" t="s">
        <v>18</v>
      </c>
      <c r="J299">
        <v>3</v>
      </c>
      <c r="K299" t="s">
        <v>19</v>
      </c>
      <c r="L299" t="s">
        <v>55</v>
      </c>
      <c r="M299">
        <v>1</v>
      </c>
      <c r="N299">
        <v>8</v>
      </c>
      <c r="O299" t="s">
        <v>2530</v>
      </c>
    </row>
    <row r="300" spans="1:15">
      <c r="A300" t="s">
        <v>1431</v>
      </c>
      <c r="B300" t="s">
        <v>32</v>
      </c>
      <c r="C300">
        <v>2</v>
      </c>
      <c r="D300">
        <v>21.3</v>
      </c>
      <c r="E300">
        <v>42.6</v>
      </c>
      <c r="F300" s="12">
        <v>45708</v>
      </c>
      <c r="G300" s="12">
        <v>45709</v>
      </c>
      <c r="H300" t="s">
        <v>23</v>
      </c>
      <c r="I300" t="s">
        <v>18</v>
      </c>
      <c r="J300">
        <v>4</v>
      </c>
      <c r="K300" t="s">
        <v>19</v>
      </c>
      <c r="L300" t="s">
        <v>33</v>
      </c>
      <c r="M300">
        <v>1</v>
      </c>
      <c r="N300">
        <v>8</v>
      </c>
      <c r="O300" t="s">
        <v>2531</v>
      </c>
    </row>
    <row r="301" spans="1:15">
      <c r="A301" t="s">
        <v>1430</v>
      </c>
      <c r="B301" t="s">
        <v>128</v>
      </c>
      <c r="C301">
        <v>2</v>
      </c>
      <c r="D301">
        <v>88.7</v>
      </c>
      <c r="E301">
        <v>177.4</v>
      </c>
      <c r="F301" s="12">
        <v>45708</v>
      </c>
      <c r="G301" s="12">
        <v>45709</v>
      </c>
      <c r="H301" t="s">
        <v>17</v>
      </c>
      <c r="I301" t="s">
        <v>51</v>
      </c>
      <c r="J301">
        <v>5</v>
      </c>
      <c r="K301" t="s">
        <v>19</v>
      </c>
      <c r="L301" t="s">
        <v>33</v>
      </c>
      <c r="M301">
        <v>1</v>
      </c>
      <c r="N301">
        <v>8</v>
      </c>
      <c r="O301" t="s">
        <v>2533</v>
      </c>
    </row>
    <row r="302" spans="1:15">
      <c r="A302" t="s">
        <v>1423</v>
      </c>
      <c r="B302" t="s">
        <v>22</v>
      </c>
      <c r="C302">
        <v>2</v>
      </c>
      <c r="D302">
        <v>40.6</v>
      </c>
      <c r="E302">
        <v>81.2</v>
      </c>
      <c r="F302" s="12">
        <v>45708</v>
      </c>
      <c r="G302" s="12">
        <v>45709</v>
      </c>
      <c r="H302" t="s">
        <v>23</v>
      </c>
      <c r="I302" t="s">
        <v>18</v>
      </c>
      <c r="J302">
        <v>2</v>
      </c>
      <c r="K302" t="s">
        <v>19</v>
      </c>
      <c r="L302" t="s">
        <v>28</v>
      </c>
      <c r="M302">
        <v>1</v>
      </c>
      <c r="N302">
        <v>8</v>
      </c>
      <c r="O302" t="s">
        <v>2531</v>
      </c>
    </row>
    <row r="303" spans="1:15">
      <c r="A303" t="s">
        <v>1421</v>
      </c>
      <c r="B303" t="s">
        <v>16</v>
      </c>
      <c r="C303">
        <v>2</v>
      </c>
      <c r="D303">
        <v>29.6</v>
      </c>
      <c r="E303">
        <v>59.2</v>
      </c>
      <c r="F303" s="12">
        <v>45708</v>
      </c>
      <c r="G303" s="12">
        <v>45710</v>
      </c>
      <c r="H303" t="s">
        <v>23</v>
      </c>
      <c r="I303" t="s">
        <v>18</v>
      </c>
      <c r="J303">
        <v>4</v>
      </c>
      <c r="K303" t="s">
        <v>19</v>
      </c>
      <c r="L303" t="s">
        <v>24</v>
      </c>
      <c r="M303">
        <v>2</v>
      </c>
      <c r="N303">
        <v>8</v>
      </c>
      <c r="O303" t="s">
        <v>2531</v>
      </c>
    </row>
    <row r="304" spans="1:15">
      <c r="A304" t="s">
        <v>1419</v>
      </c>
      <c r="B304" t="s">
        <v>44</v>
      </c>
      <c r="C304">
        <v>2</v>
      </c>
      <c r="D304">
        <v>32.299999999999997</v>
      </c>
      <c r="E304">
        <v>64.599999999999994</v>
      </c>
      <c r="F304" s="12">
        <v>45708</v>
      </c>
      <c r="G304" s="12">
        <v>45709</v>
      </c>
      <c r="H304" t="s">
        <v>23</v>
      </c>
      <c r="I304" t="s">
        <v>18</v>
      </c>
      <c r="J304">
        <v>5</v>
      </c>
      <c r="K304" t="s">
        <v>19</v>
      </c>
      <c r="L304" t="s">
        <v>115</v>
      </c>
      <c r="M304">
        <v>1</v>
      </c>
      <c r="N304">
        <v>8</v>
      </c>
      <c r="O304" t="s">
        <v>2531</v>
      </c>
    </row>
    <row r="305" spans="1:15">
      <c r="A305" t="s">
        <v>1418</v>
      </c>
      <c r="B305" t="s">
        <v>44</v>
      </c>
      <c r="C305">
        <v>2</v>
      </c>
      <c r="D305">
        <v>59</v>
      </c>
      <c r="E305">
        <v>118</v>
      </c>
      <c r="F305" s="12">
        <v>45708</v>
      </c>
      <c r="G305" s="12">
        <v>45709</v>
      </c>
      <c r="H305" t="s">
        <v>23</v>
      </c>
      <c r="I305" t="s">
        <v>35</v>
      </c>
      <c r="J305">
        <v>4</v>
      </c>
      <c r="K305" t="s">
        <v>19</v>
      </c>
      <c r="L305" t="s">
        <v>115</v>
      </c>
      <c r="M305">
        <v>1</v>
      </c>
      <c r="N305">
        <v>8</v>
      </c>
      <c r="O305" t="s">
        <v>2531</v>
      </c>
    </row>
    <row r="306" spans="1:15">
      <c r="A306" t="s">
        <v>1414</v>
      </c>
      <c r="B306" t="s">
        <v>39</v>
      </c>
      <c r="C306">
        <v>2</v>
      </c>
      <c r="D306">
        <v>80.7</v>
      </c>
      <c r="E306">
        <v>161.4</v>
      </c>
      <c r="F306" s="12">
        <v>45707</v>
      </c>
      <c r="G306" s="12">
        <v>45710</v>
      </c>
      <c r="H306" t="s">
        <v>27</v>
      </c>
      <c r="I306" t="s">
        <v>51</v>
      </c>
      <c r="J306">
        <v>4</v>
      </c>
      <c r="K306" t="s">
        <v>19</v>
      </c>
      <c r="L306" t="s">
        <v>108</v>
      </c>
      <c r="M306">
        <v>3</v>
      </c>
      <c r="N306">
        <v>8</v>
      </c>
      <c r="O306" t="s">
        <v>2530</v>
      </c>
    </row>
    <row r="307" spans="1:15">
      <c r="A307" t="s">
        <v>1413</v>
      </c>
      <c r="B307" t="s">
        <v>26</v>
      </c>
      <c r="C307">
        <v>2</v>
      </c>
      <c r="D307">
        <v>215.6</v>
      </c>
      <c r="E307">
        <v>431.2</v>
      </c>
      <c r="F307" s="12">
        <v>45707</v>
      </c>
      <c r="G307" s="12">
        <v>45708</v>
      </c>
      <c r="H307" t="s">
        <v>27</v>
      </c>
      <c r="I307" t="s">
        <v>40</v>
      </c>
      <c r="J307">
        <v>4</v>
      </c>
      <c r="K307" t="s">
        <v>19</v>
      </c>
      <c r="L307" t="s">
        <v>108</v>
      </c>
      <c r="M307">
        <v>1</v>
      </c>
      <c r="N307">
        <v>8</v>
      </c>
      <c r="O307" t="s">
        <v>2530</v>
      </c>
    </row>
    <row r="308" spans="1:15">
      <c r="A308" t="s">
        <v>1406</v>
      </c>
      <c r="B308" t="s">
        <v>37</v>
      </c>
      <c r="C308">
        <v>2</v>
      </c>
      <c r="D308">
        <v>27.4</v>
      </c>
      <c r="E308">
        <v>54.8</v>
      </c>
      <c r="F308" s="12">
        <v>45707</v>
      </c>
      <c r="G308" s="12">
        <v>45709</v>
      </c>
      <c r="H308" t="s">
        <v>23</v>
      </c>
      <c r="I308" t="s">
        <v>35</v>
      </c>
      <c r="J308">
        <v>4</v>
      </c>
      <c r="K308" t="s">
        <v>19</v>
      </c>
      <c r="L308" t="s">
        <v>62</v>
      </c>
      <c r="M308">
        <v>2</v>
      </c>
      <c r="N308">
        <v>8</v>
      </c>
      <c r="O308" t="s">
        <v>2531</v>
      </c>
    </row>
    <row r="309" spans="1:15">
      <c r="A309" t="s">
        <v>391</v>
      </c>
      <c r="B309" t="s">
        <v>81</v>
      </c>
      <c r="C309">
        <v>2</v>
      </c>
      <c r="D309">
        <v>14.2</v>
      </c>
      <c r="E309">
        <v>28.4</v>
      </c>
      <c r="F309" s="12">
        <v>45670</v>
      </c>
      <c r="G309" s="12">
        <v>45675</v>
      </c>
      <c r="H309" t="s">
        <v>27</v>
      </c>
      <c r="I309" t="s">
        <v>51</v>
      </c>
      <c r="J309">
        <v>4</v>
      </c>
      <c r="K309" t="s">
        <v>19</v>
      </c>
      <c r="L309" t="s">
        <v>392</v>
      </c>
      <c r="M309">
        <v>5</v>
      </c>
      <c r="N309">
        <v>3</v>
      </c>
      <c r="O309" t="s">
        <v>2530</v>
      </c>
    </row>
    <row r="310" spans="1:15">
      <c r="A310" t="s">
        <v>1400</v>
      </c>
      <c r="B310" t="s">
        <v>39</v>
      </c>
      <c r="C310">
        <v>2</v>
      </c>
      <c r="D310">
        <v>42.2</v>
      </c>
      <c r="E310">
        <v>84.4</v>
      </c>
      <c r="F310" s="12">
        <v>45707</v>
      </c>
      <c r="G310" s="12">
        <v>45708</v>
      </c>
      <c r="H310" t="s">
        <v>27</v>
      </c>
      <c r="I310" t="s">
        <v>35</v>
      </c>
      <c r="J310">
        <v>3</v>
      </c>
      <c r="K310" t="s">
        <v>19</v>
      </c>
      <c r="L310" t="s">
        <v>158</v>
      </c>
      <c r="M310">
        <v>1</v>
      </c>
      <c r="N310">
        <v>8</v>
      </c>
      <c r="O310" t="s">
        <v>2530</v>
      </c>
    </row>
    <row r="311" spans="1:15">
      <c r="A311" t="s">
        <v>1393</v>
      </c>
      <c r="B311" t="s">
        <v>54</v>
      </c>
      <c r="C311">
        <v>2</v>
      </c>
      <c r="D311">
        <v>38</v>
      </c>
      <c r="E311">
        <v>76</v>
      </c>
      <c r="F311" s="12">
        <v>45707</v>
      </c>
      <c r="G311" s="12">
        <v>45708</v>
      </c>
      <c r="H311" t="s">
        <v>23</v>
      </c>
      <c r="I311" t="s">
        <v>35</v>
      </c>
      <c r="J311">
        <v>3</v>
      </c>
      <c r="K311" t="s">
        <v>19</v>
      </c>
      <c r="L311" t="s">
        <v>33</v>
      </c>
      <c r="M311">
        <v>1</v>
      </c>
      <c r="N311">
        <v>8</v>
      </c>
      <c r="O311" t="s">
        <v>2531</v>
      </c>
    </row>
    <row r="312" spans="1:15">
      <c r="A312" t="s">
        <v>1377</v>
      </c>
      <c r="B312" t="s">
        <v>26</v>
      </c>
      <c r="C312">
        <v>2</v>
      </c>
      <c r="D312">
        <v>220.3</v>
      </c>
      <c r="E312">
        <v>440.6</v>
      </c>
      <c r="F312" s="12">
        <v>45706</v>
      </c>
      <c r="G312" s="12">
        <v>45707</v>
      </c>
      <c r="H312" t="s">
        <v>27</v>
      </c>
      <c r="I312" t="s">
        <v>35</v>
      </c>
      <c r="J312">
        <v>2</v>
      </c>
      <c r="K312" t="s">
        <v>19</v>
      </c>
      <c r="L312" t="s">
        <v>1116</v>
      </c>
      <c r="M312">
        <v>1</v>
      </c>
      <c r="N312">
        <v>8</v>
      </c>
      <c r="O312" t="s">
        <v>2530</v>
      </c>
    </row>
    <row r="313" spans="1:15">
      <c r="A313" t="s">
        <v>1371</v>
      </c>
      <c r="B313" t="s">
        <v>32</v>
      </c>
      <c r="C313">
        <v>2</v>
      </c>
      <c r="D313">
        <v>23.1</v>
      </c>
      <c r="E313">
        <v>46.2</v>
      </c>
      <c r="F313" s="12">
        <v>45706</v>
      </c>
      <c r="G313" s="12">
        <v>45709</v>
      </c>
      <c r="H313" t="s">
        <v>23</v>
      </c>
      <c r="I313" t="s">
        <v>35</v>
      </c>
      <c r="J313">
        <v>4</v>
      </c>
      <c r="K313" t="s">
        <v>19</v>
      </c>
      <c r="L313" t="s">
        <v>74</v>
      </c>
      <c r="M313">
        <v>3</v>
      </c>
      <c r="N313">
        <v>8</v>
      </c>
      <c r="O313" t="s">
        <v>2531</v>
      </c>
    </row>
    <row r="314" spans="1:15">
      <c r="A314" t="s">
        <v>1370</v>
      </c>
      <c r="B314" t="s">
        <v>128</v>
      </c>
      <c r="C314">
        <v>2</v>
      </c>
      <c r="D314">
        <v>51</v>
      </c>
      <c r="E314">
        <v>102</v>
      </c>
      <c r="F314" s="12">
        <v>45706</v>
      </c>
      <c r="G314" s="12">
        <v>45706</v>
      </c>
      <c r="H314" t="s">
        <v>23</v>
      </c>
      <c r="I314" t="s">
        <v>35</v>
      </c>
      <c r="J314">
        <v>4</v>
      </c>
      <c r="K314" t="s">
        <v>19</v>
      </c>
      <c r="L314" t="s">
        <v>201</v>
      </c>
      <c r="M314">
        <v>0</v>
      </c>
      <c r="N314">
        <v>8</v>
      </c>
      <c r="O314" t="s">
        <v>2531</v>
      </c>
    </row>
    <row r="315" spans="1:15">
      <c r="A315" t="s">
        <v>398</v>
      </c>
      <c r="B315" t="s">
        <v>37</v>
      </c>
      <c r="C315">
        <v>2</v>
      </c>
      <c r="D315">
        <v>34.9</v>
      </c>
      <c r="E315">
        <v>69.8</v>
      </c>
      <c r="F315" s="12">
        <v>45671</v>
      </c>
      <c r="G315" s="12">
        <v>45672</v>
      </c>
      <c r="H315" t="s">
        <v>27</v>
      </c>
      <c r="I315" t="s">
        <v>40</v>
      </c>
      <c r="J315">
        <v>4</v>
      </c>
      <c r="K315" t="s">
        <v>19</v>
      </c>
      <c r="L315" t="s">
        <v>72</v>
      </c>
      <c r="M315">
        <v>1</v>
      </c>
      <c r="N315">
        <v>3</v>
      </c>
      <c r="O315" t="s">
        <v>2530</v>
      </c>
    </row>
    <row r="316" spans="1:15">
      <c r="A316" t="s">
        <v>1369</v>
      </c>
      <c r="B316" t="s">
        <v>67</v>
      </c>
      <c r="C316">
        <v>2</v>
      </c>
      <c r="D316">
        <v>54.2</v>
      </c>
      <c r="E316">
        <v>108.4</v>
      </c>
      <c r="F316" s="12">
        <v>45706</v>
      </c>
      <c r="G316" s="12">
        <v>45707</v>
      </c>
      <c r="H316" t="s">
        <v>27</v>
      </c>
      <c r="I316" t="s">
        <v>18</v>
      </c>
      <c r="J316">
        <v>3</v>
      </c>
      <c r="K316" t="s">
        <v>19</v>
      </c>
      <c r="L316" t="s">
        <v>103</v>
      </c>
      <c r="M316">
        <v>1</v>
      </c>
      <c r="N316">
        <v>8</v>
      </c>
      <c r="O316" t="s">
        <v>2530</v>
      </c>
    </row>
    <row r="317" spans="1:15">
      <c r="A317" t="s">
        <v>1362</v>
      </c>
      <c r="B317" t="s">
        <v>46</v>
      </c>
      <c r="C317">
        <v>2</v>
      </c>
      <c r="D317">
        <v>110.8</v>
      </c>
      <c r="E317">
        <v>221.6</v>
      </c>
      <c r="F317" s="12">
        <v>45706</v>
      </c>
      <c r="G317" s="12">
        <v>45706</v>
      </c>
      <c r="H317" t="s">
        <v>23</v>
      </c>
      <c r="I317" t="s">
        <v>18</v>
      </c>
      <c r="J317">
        <v>5</v>
      </c>
      <c r="K317" t="s">
        <v>19</v>
      </c>
      <c r="L317" t="s">
        <v>62</v>
      </c>
      <c r="M317">
        <v>0</v>
      </c>
      <c r="N317">
        <v>8</v>
      </c>
      <c r="O317" t="s">
        <v>2531</v>
      </c>
    </row>
    <row r="318" spans="1:15">
      <c r="A318" t="s">
        <v>1360</v>
      </c>
      <c r="B318" t="s">
        <v>26</v>
      </c>
      <c r="C318">
        <v>2</v>
      </c>
      <c r="D318">
        <v>187.1</v>
      </c>
      <c r="E318">
        <v>374.2</v>
      </c>
      <c r="F318" s="12">
        <v>45706</v>
      </c>
      <c r="G318" s="12">
        <v>45707</v>
      </c>
      <c r="H318" t="s">
        <v>23</v>
      </c>
      <c r="I318" t="s">
        <v>35</v>
      </c>
      <c r="J318">
        <v>5</v>
      </c>
      <c r="K318" t="s">
        <v>19</v>
      </c>
      <c r="L318" t="s">
        <v>62</v>
      </c>
      <c r="M318">
        <v>1</v>
      </c>
      <c r="N318">
        <v>8</v>
      </c>
      <c r="O318" t="s">
        <v>2531</v>
      </c>
    </row>
    <row r="319" spans="1:15">
      <c r="A319" t="s">
        <v>1359</v>
      </c>
      <c r="B319" t="s">
        <v>44</v>
      </c>
      <c r="C319">
        <v>2</v>
      </c>
      <c r="D319">
        <v>43.5</v>
      </c>
      <c r="E319">
        <v>87</v>
      </c>
      <c r="F319" s="12">
        <v>45706</v>
      </c>
      <c r="G319" s="12">
        <v>45707</v>
      </c>
      <c r="H319" t="s">
        <v>23</v>
      </c>
      <c r="I319" t="s">
        <v>70</v>
      </c>
      <c r="J319">
        <v>4</v>
      </c>
      <c r="K319" t="s">
        <v>19</v>
      </c>
      <c r="L319" t="s">
        <v>59</v>
      </c>
      <c r="M319">
        <v>1</v>
      </c>
      <c r="N319">
        <v>8</v>
      </c>
      <c r="O319" t="s">
        <v>2531</v>
      </c>
    </row>
    <row r="320" spans="1:15">
      <c r="A320" t="s">
        <v>403</v>
      </c>
      <c r="B320" t="s">
        <v>26</v>
      </c>
      <c r="C320">
        <v>2</v>
      </c>
      <c r="D320">
        <v>69.099999999999994</v>
      </c>
      <c r="E320">
        <v>138.19999999999999</v>
      </c>
      <c r="F320" s="12">
        <v>45671</v>
      </c>
      <c r="G320" s="12">
        <v>45674</v>
      </c>
      <c r="H320" t="s">
        <v>27</v>
      </c>
      <c r="I320" t="s">
        <v>18</v>
      </c>
      <c r="J320">
        <v>5</v>
      </c>
      <c r="K320" t="s">
        <v>19</v>
      </c>
      <c r="L320" t="s">
        <v>147</v>
      </c>
      <c r="M320">
        <v>3</v>
      </c>
      <c r="N320">
        <v>3</v>
      </c>
      <c r="O320" t="s">
        <v>2530</v>
      </c>
    </row>
    <row r="321" spans="1:15">
      <c r="A321" t="s">
        <v>1355</v>
      </c>
      <c r="B321" t="s">
        <v>22</v>
      </c>
      <c r="C321">
        <v>2</v>
      </c>
      <c r="D321">
        <v>55.6</v>
      </c>
      <c r="E321">
        <v>111.2</v>
      </c>
      <c r="F321" s="12">
        <v>45706</v>
      </c>
      <c r="G321" s="12">
        <v>45708</v>
      </c>
      <c r="H321" t="s">
        <v>23</v>
      </c>
      <c r="I321" t="s">
        <v>35</v>
      </c>
      <c r="J321">
        <v>5</v>
      </c>
      <c r="K321" t="s">
        <v>19</v>
      </c>
      <c r="L321" t="s">
        <v>55</v>
      </c>
      <c r="M321">
        <v>2</v>
      </c>
      <c r="N321">
        <v>8</v>
      </c>
      <c r="O321" t="s">
        <v>2531</v>
      </c>
    </row>
    <row r="322" spans="1:15">
      <c r="A322" t="s">
        <v>1353</v>
      </c>
      <c r="B322" t="s">
        <v>22</v>
      </c>
      <c r="C322">
        <v>2</v>
      </c>
      <c r="D322">
        <v>52.6</v>
      </c>
      <c r="E322">
        <v>105.2</v>
      </c>
      <c r="F322" s="12">
        <v>45706</v>
      </c>
      <c r="G322" s="12">
        <v>45707</v>
      </c>
      <c r="H322" t="s">
        <v>27</v>
      </c>
      <c r="I322" t="s">
        <v>18</v>
      </c>
      <c r="J322">
        <v>5</v>
      </c>
      <c r="K322" t="s">
        <v>19</v>
      </c>
      <c r="L322" t="s">
        <v>52</v>
      </c>
      <c r="M322">
        <v>1</v>
      </c>
      <c r="N322">
        <v>8</v>
      </c>
      <c r="O322" t="s">
        <v>2530</v>
      </c>
    </row>
    <row r="323" spans="1:15">
      <c r="A323" t="s">
        <v>1352</v>
      </c>
      <c r="B323" t="s">
        <v>22</v>
      </c>
      <c r="C323">
        <v>2</v>
      </c>
      <c r="D323">
        <v>106.2</v>
      </c>
      <c r="E323">
        <v>212.4</v>
      </c>
      <c r="F323" s="12">
        <v>45706</v>
      </c>
      <c r="G323" s="12">
        <v>45706</v>
      </c>
      <c r="H323" t="s">
        <v>27</v>
      </c>
      <c r="I323" t="s">
        <v>70</v>
      </c>
      <c r="J323">
        <v>5</v>
      </c>
      <c r="K323" t="s">
        <v>19</v>
      </c>
      <c r="L323" t="s">
        <v>33</v>
      </c>
      <c r="M323">
        <v>0</v>
      </c>
      <c r="N323">
        <v>8</v>
      </c>
      <c r="O323" t="s">
        <v>2530</v>
      </c>
    </row>
    <row r="324" spans="1:15">
      <c r="A324" t="s">
        <v>1348</v>
      </c>
      <c r="B324" t="s">
        <v>16</v>
      </c>
      <c r="C324">
        <v>2</v>
      </c>
      <c r="D324">
        <v>44.1</v>
      </c>
      <c r="E324">
        <v>88.2</v>
      </c>
      <c r="F324" s="12">
        <v>45706</v>
      </c>
      <c r="G324" s="12">
        <v>45708</v>
      </c>
      <c r="H324" t="s">
        <v>27</v>
      </c>
      <c r="I324" t="s">
        <v>40</v>
      </c>
      <c r="J324">
        <v>4</v>
      </c>
      <c r="K324" t="s">
        <v>19</v>
      </c>
      <c r="L324" t="s">
        <v>33</v>
      </c>
      <c r="M324">
        <v>2</v>
      </c>
      <c r="N324">
        <v>8</v>
      </c>
      <c r="O324" t="s">
        <v>2530</v>
      </c>
    </row>
    <row r="325" spans="1:15">
      <c r="A325" t="s">
        <v>408</v>
      </c>
      <c r="B325" t="s">
        <v>81</v>
      </c>
      <c r="C325">
        <v>2</v>
      </c>
      <c r="D325">
        <v>50.4</v>
      </c>
      <c r="E325">
        <v>100.8</v>
      </c>
      <c r="F325" s="12">
        <v>45671</v>
      </c>
      <c r="G325" s="12">
        <v>45677</v>
      </c>
      <c r="H325" t="s">
        <v>23</v>
      </c>
      <c r="I325" t="s">
        <v>18</v>
      </c>
      <c r="J325">
        <v>3</v>
      </c>
      <c r="K325" t="s">
        <v>19</v>
      </c>
      <c r="L325" t="s">
        <v>33</v>
      </c>
      <c r="M325">
        <v>6</v>
      </c>
      <c r="N325">
        <v>3</v>
      </c>
      <c r="O325" t="s">
        <v>2531</v>
      </c>
    </row>
    <row r="326" spans="1:15">
      <c r="A326" t="s">
        <v>409</v>
      </c>
      <c r="B326" t="s">
        <v>22</v>
      </c>
      <c r="C326">
        <v>2</v>
      </c>
      <c r="D326">
        <v>100</v>
      </c>
      <c r="E326">
        <v>200</v>
      </c>
      <c r="F326" s="12">
        <v>45671</v>
      </c>
      <c r="G326" s="12">
        <v>45672</v>
      </c>
      <c r="H326" t="s">
        <v>27</v>
      </c>
      <c r="I326" t="s">
        <v>18</v>
      </c>
      <c r="J326">
        <v>4</v>
      </c>
      <c r="K326" t="s">
        <v>19</v>
      </c>
      <c r="L326" t="s">
        <v>33</v>
      </c>
      <c r="M326">
        <v>1</v>
      </c>
      <c r="N326">
        <v>3</v>
      </c>
      <c r="O326" t="s">
        <v>2530</v>
      </c>
    </row>
    <row r="327" spans="1:15">
      <c r="A327" t="s">
        <v>1343</v>
      </c>
      <c r="B327" t="s">
        <v>42</v>
      </c>
      <c r="C327">
        <v>2</v>
      </c>
      <c r="D327">
        <v>34.299999999999997</v>
      </c>
      <c r="E327">
        <v>68.599999999999994</v>
      </c>
      <c r="F327" s="12">
        <v>45706</v>
      </c>
      <c r="G327" s="12">
        <v>45708</v>
      </c>
      <c r="H327" t="s">
        <v>27</v>
      </c>
      <c r="I327" t="s">
        <v>18</v>
      </c>
      <c r="J327">
        <v>1</v>
      </c>
      <c r="K327" t="s">
        <v>19</v>
      </c>
      <c r="L327" t="s">
        <v>24</v>
      </c>
      <c r="M327">
        <v>2</v>
      </c>
      <c r="N327">
        <v>8</v>
      </c>
      <c r="O327" t="s">
        <v>2530</v>
      </c>
    </row>
    <row r="328" spans="1:15">
      <c r="A328" t="s">
        <v>1340</v>
      </c>
      <c r="B328" t="s">
        <v>26</v>
      </c>
      <c r="C328">
        <v>2</v>
      </c>
      <c r="D328">
        <v>163</v>
      </c>
      <c r="E328">
        <v>326</v>
      </c>
      <c r="F328" s="12">
        <v>45706</v>
      </c>
      <c r="G328" s="12">
        <v>45712</v>
      </c>
      <c r="H328" t="s">
        <v>27</v>
      </c>
      <c r="I328" t="s">
        <v>70</v>
      </c>
      <c r="J328">
        <v>4</v>
      </c>
      <c r="K328" t="s">
        <v>19</v>
      </c>
      <c r="L328" t="s">
        <v>115</v>
      </c>
      <c r="M328">
        <v>6</v>
      </c>
      <c r="N328">
        <v>8</v>
      </c>
      <c r="O328" t="s">
        <v>2530</v>
      </c>
    </row>
    <row r="329" spans="1:15">
      <c r="A329" t="s">
        <v>412</v>
      </c>
      <c r="B329" t="s">
        <v>146</v>
      </c>
      <c r="C329">
        <v>2</v>
      </c>
      <c r="D329">
        <v>57.4</v>
      </c>
      <c r="E329">
        <v>114.8</v>
      </c>
      <c r="F329" s="12">
        <v>45672</v>
      </c>
      <c r="G329" s="12">
        <v>45673</v>
      </c>
      <c r="H329" t="s">
        <v>23</v>
      </c>
      <c r="I329" t="s">
        <v>40</v>
      </c>
      <c r="J329">
        <v>3</v>
      </c>
      <c r="K329" t="s">
        <v>19</v>
      </c>
      <c r="L329" t="s">
        <v>33</v>
      </c>
      <c r="M329">
        <v>1</v>
      </c>
      <c r="N329">
        <v>3</v>
      </c>
      <c r="O329" t="s">
        <v>2531</v>
      </c>
    </row>
    <row r="330" spans="1:15">
      <c r="A330" t="s">
        <v>1339</v>
      </c>
      <c r="B330" t="s">
        <v>22</v>
      </c>
      <c r="C330">
        <v>2</v>
      </c>
      <c r="D330">
        <v>77.5</v>
      </c>
      <c r="E330">
        <v>155</v>
      </c>
      <c r="F330" s="12">
        <v>45706</v>
      </c>
      <c r="G330" s="12">
        <v>45707</v>
      </c>
      <c r="H330" t="s">
        <v>17</v>
      </c>
      <c r="I330" t="s">
        <v>40</v>
      </c>
      <c r="J330">
        <v>5</v>
      </c>
      <c r="K330" t="s">
        <v>19</v>
      </c>
      <c r="L330" t="s">
        <v>82</v>
      </c>
      <c r="M330">
        <v>1</v>
      </c>
      <c r="N330">
        <v>8</v>
      </c>
      <c r="O330" t="s">
        <v>2533</v>
      </c>
    </row>
    <row r="331" spans="1:15">
      <c r="A331" t="s">
        <v>1332</v>
      </c>
      <c r="B331" t="s">
        <v>46</v>
      </c>
      <c r="C331">
        <v>2</v>
      </c>
      <c r="D331">
        <v>49.7</v>
      </c>
      <c r="E331">
        <v>99.4</v>
      </c>
      <c r="F331" s="12">
        <v>45706</v>
      </c>
      <c r="G331" s="12">
        <v>45708</v>
      </c>
      <c r="H331" t="s">
        <v>89</v>
      </c>
      <c r="I331" t="s">
        <v>70</v>
      </c>
      <c r="J331">
        <v>4</v>
      </c>
      <c r="K331" t="s">
        <v>19</v>
      </c>
      <c r="L331" t="s">
        <v>74</v>
      </c>
      <c r="M331">
        <v>2</v>
      </c>
      <c r="N331">
        <v>8</v>
      </c>
      <c r="O331" t="s">
        <v>2532</v>
      </c>
    </row>
    <row r="332" spans="1:15">
      <c r="A332" t="s">
        <v>1328</v>
      </c>
      <c r="B332" t="s">
        <v>26</v>
      </c>
      <c r="C332">
        <v>2</v>
      </c>
      <c r="D332">
        <v>154.80000000000001</v>
      </c>
      <c r="E332">
        <v>309.60000000000002</v>
      </c>
      <c r="F332" s="12">
        <v>45706</v>
      </c>
      <c r="G332" s="12">
        <v>45709</v>
      </c>
      <c r="H332" t="s">
        <v>27</v>
      </c>
      <c r="I332" t="s">
        <v>35</v>
      </c>
      <c r="J332">
        <v>2</v>
      </c>
      <c r="K332" t="s">
        <v>19</v>
      </c>
      <c r="L332" t="s">
        <v>62</v>
      </c>
      <c r="M332">
        <v>3</v>
      </c>
      <c r="N332">
        <v>8</v>
      </c>
      <c r="O332" t="s">
        <v>2530</v>
      </c>
    </row>
    <row r="333" spans="1:15">
      <c r="A333" t="s">
        <v>1327</v>
      </c>
      <c r="B333" t="s">
        <v>30</v>
      </c>
      <c r="C333">
        <v>2</v>
      </c>
      <c r="D333">
        <v>30.5</v>
      </c>
      <c r="E333">
        <v>61</v>
      </c>
      <c r="F333" s="12">
        <v>45706</v>
      </c>
      <c r="G333" s="12">
        <v>45709</v>
      </c>
      <c r="H333" t="s">
        <v>23</v>
      </c>
      <c r="I333" t="s">
        <v>18</v>
      </c>
      <c r="J333">
        <v>5</v>
      </c>
      <c r="K333" t="s">
        <v>19</v>
      </c>
      <c r="L333" t="s">
        <v>62</v>
      </c>
      <c r="M333">
        <v>3</v>
      </c>
      <c r="N333">
        <v>8</v>
      </c>
      <c r="O333" t="s">
        <v>2531</v>
      </c>
    </row>
    <row r="334" spans="1:15">
      <c r="A334" t="s">
        <v>418</v>
      </c>
      <c r="B334" t="s">
        <v>26</v>
      </c>
      <c r="C334">
        <v>2</v>
      </c>
      <c r="D334">
        <v>74.900000000000006</v>
      </c>
      <c r="E334">
        <v>149.80000000000001</v>
      </c>
      <c r="F334" s="12">
        <v>45672</v>
      </c>
      <c r="G334" s="12">
        <v>45674</v>
      </c>
      <c r="H334" t="s">
        <v>23</v>
      </c>
      <c r="I334" t="s">
        <v>51</v>
      </c>
      <c r="J334">
        <v>4</v>
      </c>
      <c r="K334" t="s">
        <v>19</v>
      </c>
      <c r="L334" t="s">
        <v>55</v>
      </c>
      <c r="M334">
        <v>2</v>
      </c>
      <c r="N334">
        <v>3</v>
      </c>
      <c r="O334" t="s">
        <v>2531</v>
      </c>
    </row>
    <row r="335" spans="1:15">
      <c r="A335" t="s">
        <v>1313</v>
      </c>
      <c r="B335" t="s">
        <v>39</v>
      </c>
      <c r="C335">
        <v>2</v>
      </c>
      <c r="D335">
        <v>78.7</v>
      </c>
      <c r="E335">
        <v>157.4</v>
      </c>
      <c r="F335" s="12">
        <v>45705</v>
      </c>
      <c r="G335" s="12">
        <v>45705</v>
      </c>
      <c r="H335" t="s">
        <v>27</v>
      </c>
      <c r="I335" t="s">
        <v>40</v>
      </c>
      <c r="J335">
        <v>3</v>
      </c>
      <c r="K335" t="s">
        <v>19</v>
      </c>
      <c r="L335" t="s">
        <v>33</v>
      </c>
      <c r="M335">
        <v>0</v>
      </c>
      <c r="N335">
        <v>8</v>
      </c>
      <c r="O335" t="s">
        <v>2530</v>
      </c>
    </row>
    <row r="336" spans="1:15">
      <c r="A336" t="s">
        <v>1311</v>
      </c>
      <c r="B336" t="s">
        <v>69</v>
      </c>
      <c r="C336">
        <v>2</v>
      </c>
      <c r="D336">
        <v>64.099999999999994</v>
      </c>
      <c r="E336">
        <v>128.19999999999999</v>
      </c>
      <c r="F336" s="12">
        <v>45705</v>
      </c>
      <c r="G336" s="12">
        <v>45709</v>
      </c>
      <c r="H336" t="s">
        <v>27</v>
      </c>
      <c r="I336" t="s">
        <v>35</v>
      </c>
      <c r="J336">
        <v>2</v>
      </c>
      <c r="K336" t="s">
        <v>19</v>
      </c>
      <c r="L336" t="s">
        <v>33</v>
      </c>
      <c r="M336">
        <v>4</v>
      </c>
      <c r="N336">
        <v>8</v>
      </c>
      <c r="O336" t="s">
        <v>2530</v>
      </c>
    </row>
    <row r="337" spans="1:15">
      <c r="A337" t="s">
        <v>421</v>
      </c>
      <c r="B337" t="s">
        <v>39</v>
      </c>
      <c r="C337">
        <v>2</v>
      </c>
      <c r="D337">
        <v>75.8</v>
      </c>
      <c r="E337">
        <v>151.6</v>
      </c>
      <c r="F337" s="12">
        <v>45672</v>
      </c>
      <c r="G337" s="12">
        <v>45678</v>
      </c>
      <c r="H337" t="s">
        <v>23</v>
      </c>
      <c r="I337" t="s">
        <v>18</v>
      </c>
      <c r="J337">
        <v>4</v>
      </c>
      <c r="K337" t="s">
        <v>19</v>
      </c>
      <c r="L337" t="s">
        <v>62</v>
      </c>
      <c r="M337">
        <v>6</v>
      </c>
      <c r="N337">
        <v>3</v>
      </c>
      <c r="O337" t="s">
        <v>2531</v>
      </c>
    </row>
    <row r="338" spans="1:15">
      <c r="A338" t="s">
        <v>1309</v>
      </c>
      <c r="B338" t="s">
        <v>22</v>
      </c>
      <c r="C338">
        <v>2</v>
      </c>
      <c r="D338">
        <v>41.5</v>
      </c>
      <c r="E338">
        <v>83</v>
      </c>
      <c r="F338" s="12">
        <v>45705</v>
      </c>
      <c r="G338" s="12">
        <v>45708</v>
      </c>
      <c r="H338" t="s">
        <v>89</v>
      </c>
      <c r="I338" t="s">
        <v>18</v>
      </c>
      <c r="J338">
        <v>4</v>
      </c>
      <c r="K338" t="s">
        <v>19</v>
      </c>
      <c r="L338" t="s">
        <v>33</v>
      </c>
      <c r="M338">
        <v>3</v>
      </c>
      <c r="N338">
        <v>8</v>
      </c>
      <c r="O338" t="s">
        <v>2532</v>
      </c>
    </row>
    <row r="339" spans="1:15">
      <c r="A339" t="s">
        <v>1300</v>
      </c>
      <c r="B339" t="s">
        <v>32</v>
      </c>
      <c r="C339">
        <v>2</v>
      </c>
      <c r="D339">
        <v>29.4</v>
      </c>
      <c r="E339">
        <v>58.8</v>
      </c>
      <c r="F339" s="12">
        <v>45705</v>
      </c>
      <c r="G339" s="12">
        <v>45705</v>
      </c>
      <c r="H339" t="s">
        <v>27</v>
      </c>
      <c r="I339" t="s">
        <v>18</v>
      </c>
      <c r="J339">
        <v>3</v>
      </c>
      <c r="K339" t="s">
        <v>19</v>
      </c>
      <c r="L339" t="s">
        <v>268</v>
      </c>
      <c r="M339">
        <v>0</v>
      </c>
      <c r="N339">
        <v>8</v>
      </c>
      <c r="O339" t="s">
        <v>2530</v>
      </c>
    </row>
    <row r="340" spans="1:15">
      <c r="A340" t="s">
        <v>1299</v>
      </c>
      <c r="B340" t="s">
        <v>39</v>
      </c>
      <c r="C340">
        <v>2</v>
      </c>
      <c r="D340">
        <v>83.6</v>
      </c>
      <c r="E340">
        <v>167.2</v>
      </c>
      <c r="F340" s="12">
        <v>45705</v>
      </c>
      <c r="G340" s="12">
        <v>45710</v>
      </c>
      <c r="H340" t="s">
        <v>27</v>
      </c>
      <c r="I340" t="s">
        <v>18</v>
      </c>
      <c r="J340">
        <v>4</v>
      </c>
      <c r="K340" t="s">
        <v>19</v>
      </c>
      <c r="L340" t="s">
        <v>77</v>
      </c>
      <c r="M340">
        <v>5</v>
      </c>
      <c r="N340">
        <v>8</v>
      </c>
      <c r="O340" t="s">
        <v>2530</v>
      </c>
    </row>
    <row r="341" spans="1:15">
      <c r="A341" t="s">
        <v>1297</v>
      </c>
      <c r="B341" t="s">
        <v>22</v>
      </c>
      <c r="C341">
        <v>2</v>
      </c>
      <c r="D341">
        <v>63.5</v>
      </c>
      <c r="E341">
        <v>127</v>
      </c>
      <c r="F341" s="12">
        <v>45705</v>
      </c>
      <c r="G341" s="12">
        <v>45705</v>
      </c>
      <c r="H341" t="s">
        <v>27</v>
      </c>
      <c r="I341" t="s">
        <v>35</v>
      </c>
      <c r="J341">
        <v>5</v>
      </c>
      <c r="K341" t="s">
        <v>19</v>
      </c>
      <c r="L341" t="s">
        <v>62</v>
      </c>
      <c r="M341">
        <v>0</v>
      </c>
      <c r="N341">
        <v>8</v>
      </c>
      <c r="O341" t="s">
        <v>2530</v>
      </c>
    </row>
    <row r="342" spans="1:15">
      <c r="A342" t="s">
        <v>1296</v>
      </c>
      <c r="B342" t="s">
        <v>22</v>
      </c>
      <c r="C342">
        <v>2</v>
      </c>
      <c r="D342">
        <v>35.6</v>
      </c>
      <c r="E342">
        <v>71.2</v>
      </c>
      <c r="F342" s="12">
        <v>45705</v>
      </c>
      <c r="G342" s="12">
        <v>45710</v>
      </c>
      <c r="H342" t="s">
        <v>23</v>
      </c>
      <c r="I342" t="s">
        <v>70</v>
      </c>
      <c r="J342">
        <v>4</v>
      </c>
      <c r="K342" t="s">
        <v>19</v>
      </c>
      <c r="L342" t="s">
        <v>62</v>
      </c>
      <c r="M342">
        <v>5</v>
      </c>
      <c r="N342">
        <v>8</v>
      </c>
      <c r="O342" t="s">
        <v>2531</v>
      </c>
    </row>
    <row r="343" spans="1:15">
      <c r="A343" t="s">
        <v>1287</v>
      </c>
      <c r="B343" t="s">
        <v>16</v>
      </c>
      <c r="C343">
        <v>2</v>
      </c>
      <c r="D343">
        <v>11.6</v>
      </c>
      <c r="E343">
        <v>23.2</v>
      </c>
      <c r="F343" s="12">
        <v>45704</v>
      </c>
      <c r="G343" s="12">
        <v>45706</v>
      </c>
      <c r="H343" t="s">
        <v>27</v>
      </c>
      <c r="I343" t="s">
        <v>35</v>
      </c>
      <c r="J343">
        <v>4</v>
      </c>
      <c r="K343" t="s">
        <v>19</v>
      </c>
      <c r="L343" t="s">
        <v>186</v>
      </c>
      <c r="M343">
        <v>2</v>
      </c>
      <c r="N343">
        <v>8</v>
      </c>
      <c r="O343" t="s">
        <v>2530</v>
      </c>
    </row>
    <row r="344" spans="1:15">
      <c r="A344" t="s">
        <v>428</v>
      </c>
      <c r="B344" t="s">
        <v>26</v>
      </c>
      <c r="C344">
        <v>2</v>
      </c>
      <c r="D344">
        <v>106.9</v>
      </c>
      <c r="E344">
        <v>213.8</v>
      </c>
      <c r="F344" s="12">
        <v>45672</v>
      </c>
      <c r="G344" s="12">
        <v>45674</v>
      </c>
      <c r="H344" t="s">
        <v>27</v>
      </c>
      <c r="I344" t="s">
        <v>18</v>
      </c>
      <c r="J344">
        <v>5</v>
      </c>
      <c r="K344" t="s">
        <v>19</v>
      </c>
      <c r="L344" t="s">
        <v>429</v>
      </c>
      <c r="M344">
        <v>2</v>
      </c>
      <c r="N344">
        <v>3</v>
      </c>
      <c r="O344" t="s">
        <v>2530</v>
      </c>
    </row>
    <row r="345" spans="1:15">
      <c r="A345" t="s">
        <v>1286</v>
      </c>
      <c r="B345" t="s">
        <v>44</v>
      </c>
      <c r="C345">
        <v>2</v>
      </c>
      <c r="D345">
        <v>28.1</v>
      </c>
      <c r="E345">
        <v>56.2</v>
      </c>
      <c r="F345" s="12">
        <v>45704</v>
      </c>
      <c r="G345" s="12">
        <v>45705</v>
      </c>
      <c r="H345" t="s">
        <v>27</v>
      </c>
      <c r="I345" t="s">
        <v>70</v>
      </c>
      <c r="J345">
        <v>3</v>
      </c>
      <c r="K345" t="s">
        <v>19</v>
      </c>
      <c r="L345" t="s">
        <v>33</v>
      </c>
      <c r="M345">
        <v>1</v>
      </c>
      <c r="N345">
        <v>8</v>
      </c>
      <c r="O345" t="s">
        <v>2530</v>
      </c>
    </row>
    <row r="346" spans="1:15">
      <c r="A346" t="s">
        <v>1285</v>
      </c>
      <c r="B346" t="s">
        <v>44</v>
      </c>
      <c r="C346">
        <v>2</v>
      </c>
      <c r="D346">
        <v>55.8</v>
      </c>
      <c r="E346">
        <v>111.6</v>
      </c>
      <c r="F346" s="12">
        <v>45704</v>
      </c>
      <c r="G346" s="12">
        <v>45706</v>
      </c>
      <c r="H346" t="s">
        <v>17</v>
      </c>
      <c r="I346" t="s">
        <v>18</v>
      </c>
      <c r="J346">
        <v>4</v>
      </c>
      <c r="K346" t="s">
        <v>19</v>
      </c>
      <c r="L346" t="s">
        <v>33</v>
      </c>
      <c r="M346">
        <v>2</v>
      </c>
      <c r="N346">
        <v>8</v>
      </c>
      <c r="O346" t="s">
        <v>2533</v>
      </c>
    </row>
    <row r="347" spans="1:15">
      <c r="A347" t="s">
        <v>1281</v>
      </c>
      <c r="B347" t="s">
        <v>16</v>
      </c>
      <c r="C347">
        <v>2</v>
      </c>
      <c r="D347">
        <v>23.2</v>
      </c>
      <c r="E347">
        <v>46.4</v>
      </c>
      <c r="F347" s="12">
        <v>45704</v>
      </c>
      <c r="G347" s="12">
        <v>45704</v>
      </c>
      <c r="H347" t="s">
        <v>17</v>
      </c>
      <c r="I347" t="s">
        <v>51</v>
      </c>
      <c r="J347">
        <v>3</v>
      </c>
      <c r="K347" t="s">
        <v>19</v>
      </c>
      <c r="L347" t="s">
        <v>33</v>
      </c>
      <c r="M347">
        <v>0</v>
      </c>
      <c r="N347">
        <v>8</v>
      </c>
      <c r="O347" t="s">
        <v>2533</v>
      </c>
    </row>
    <row r="348" spans="1:15">
      <c r="A348" t="s">
        <v>1274</v>
      </c>
      <c r="B348" t="s">
        <v>22</v>
      </c>
      <c r="C348">
        <v>2</v>
      </c>
      <c r="D348">
        <v>159.69999999999999</v>
      </c>
      <c r="E348">
        <v>319.39999999999998</v>
      </c>
      <c r="F348" s="12">
        <v>45704</v>
      </c>
      <c r="G348" s="12">
        <v>45705</v>
      </c>
      <c r="H348" t="s">
        <v>23</v>
      </c>
      <c r="I348" t="s">
        <v>70</v>
      </c>
      <c r="J348">
        <v>4</v>
      </c>
      <c r="K348" t="s">
        <v>19</v>
      </c>
      <c r="L348" t="s">
        <v>82</v>
      </c>
      <c r="M348">
        <v>1</v>
      </c>
      <c r="N348">
        <v>8</v>
      </c>
      <c r="O348" t="s">
        <v>2531</v>
      </c>
    </row>
    <row r="349" spans="1:15">
      <c r="A349" t="s">
        <v>1261</v>
      </c>
      <c r="B349" t="s">
        <v>44</v>
      </c>
      <c r="C349">
        <v>2</v>
      </c>
      <c r="D349">
        <v>46</v>
      </c>
      <c r="E349">
        <v>92</v>
      </c>
      <c r="F349" s="12">
        <v>45703</v>
      </c>
      <c r="G349" s="12">
        <v>45704</v>
      </c>
      <c r="H349" t="s">
        <v>27</v>
      </c>
      <c r="I349" t="s">
        <v>70</v>
      </c>
      <c r="J349">
        <v>2</v>
      </c>
      <c r="K349" t="s">
        <v>19</v>
      </c>
      <c r="L349" t="s">
        <v>147</v>
      </c>
      <c r="M349">
        <v>1</v>
      </c>
      <c r="N349">
        <v>7</v>
      </c>
      <c r="O349" t="s">
        <v>2530</v>
      </c>
    </row>
    <row r="350" spans="1:15">
      <c r="A350" t="s">
        <v>1259</v>
      </c>
      <c r="B350" t="s">
        <v>46</v>
      </c>
      <c r="C350">
        <v>2</v>
      </c>
      <c r="D350">
        <v>66.599999999999994</v>
      </c>
      <c r="E350">
        <v>133.19999999999999</v>
      </c>
      <c r="F350" s="12">
        <v>45703</v>
      </c>
      <c r="G350" s="12">
        <v>45706</v>
      </c>
      <c r="H350" t="s">
        <v>17</v>
      </c>
      <c r="I350" t="s">
        <v>70</v>
      </c>
      <c r="J350">
        <v>3</v>
      </c>
      <c r="K350" t="s">
        <v>19</v>
      </c>
      <c r="L350" t="s">
        <v>110</v>
      </c>
      <c r="M350">
        <v>3</v>
      </c>
      <c r="N350">
        <v>7</v>
      </c>
      <c r="O350" t="s">
        <v>2533</v>
      </c>
    </row>
    <row r="351" spans="1:15">
      <c r="A351" t="s">
        <v>1258</v>
      </c>
      <c r="B351" t="s">
        <v>26</v>
      </c>
      <c r="C351">
        <v>2</v>
      </c>
      <c r="D351">
        <v>109.3</v>
      </c>
      <c r="E351">
        <v>218.6</v>
      </c>
      <c r="F351" s="12">
        <v>45703</v>
      </c>
      <c r="G351" s="12">
        <v>45705</v>
      </c>
      <c r="H351" t="s">
        <v>17</v>
      </c>
      <c r="I351" t="s">
        <v>51</v>
      </c>
      <c r="J351">
        <v>3</v>
      </c>
      <c r="K351" t="s">
        <v>19</v>
      </c>
      <c r="L351" t="s">
        <v>110</v>
      </c>
      <c r="M351">
        <v>2</v>
      </c>
      <c r="N351">
        <v>7</v>
      </c>
      <c r="O351" t="s">
        <v>2533</v>
      </c>
    </row>
    <row r="352" spans="1:15">
      <c r="A352" t="s">
        <v>1257</v>
      </c>
      <c r="B352" t="s">
        <v>42</v>
      </c>
      <c r="C352">
        <v>2</v>
      </c>
      <c r="D352">
        <v>115</v>
      </c>
      <c r="E352">
        <v>230</v>
      </c>
      <c r="F352" s="12">
        <v>45703</v>
      </c>
      <c r="G352" s="12">
        <v>45707</v>
      </c>
      <c r="H352" t="s">
        <v>23</v>
      </c>
      <c r="I352" t="s">
        <v>18</v>
      </c>
      <c r="J352">
        <v>5</v>
      </c>
      <c r="K352" t="s">
        <v>19</v>
      </c>
      <c r="L352" t="s">
        <v>108</v>
      </c>
      <c r="M352">
        <v>4</v>
      </c>
      <c r="N352">
        <v>7</v>
      </c>
      <c r="O352" t="s">
        <v>2531</v>
      </c>
    </row>
    <row r="353" spans="1:15">
      <c r="A353" t="s">
        <v>1252</v>
      </c>
      <c r="B353" t="s">
        <v>32</v>
      </c>
      <c r="C353">
        <v>2</v>
      </c>
      <c r="D353">
        <v>66.900000000000006</v>
      </c>
      <c r="E353">
        <v>133.80000000000001</v>
      </c>
      <c r="F353" s="12">
        <v>45703</v>
      </c>
      <c r="G353" s="12">
        <v>45706</v>
      </c>
      <c r="H353" t="s">
        <v>23</v>
      </c>
      <c r="I353" t="s">
        <v>35</v>
      </c>
      <c r="J353">
        <v>4</v>
      </c>
      <c r="K353" t="s">
        <v>19</v>
      </c>
      <c r="L353" t="s">
        <v>77</v>
      </c>
      <c r="M353">
        <v>3</v>
      </c>
      <c r="N353">
        <v>7</v>
      </c>
      <c r="O353" t="s">
        <v>2531</v>
      </c>
    </row>
    <row r="354" spans="1:15">
      <c r="A354" t="s">
        <v>440</v>
      </c>
      <c r="B354" t="s">
        <v>39</v>
      </c>
      <c r="C354">
        <v>2</v>
      </c>
      <c r="D354">
        <v>48.2</v>
      </c>
      <c r="E354">
        <v>96.4</v>
      </c>
      <c r="F354" s="12">
        <v>45672</v>
      </c>
      <c r="G354" s="12">
        <v>45680</v>
      </c>
      <c r="H354" t="s">
        <v>27</v>
      </c>
      <c r="I354" t="s">
        <v>18</v>
      </c>
      <c r="J354">
        <v>5</v>
      </c>
      <c r="K354" t="s">
        <v>19</v>
      </c>
      <c r="L354" t="s">
        <v>33</v>
      </c>
      <c r="M354">
        <v>8</v>
      </c>
      <c r="N354">
        <v>3</v>
      </c>
      <c r="O354" t="s">
        <v>2530</v>
      </c>
    </row>
    <row r="355" spans="1:15">
      <c r="A355" t="s">
        <v>1250</v>
      </c>
      <c r="B355" t="s">
        <v>54</v>
      </c>
      <c r="C355">
        <v>2</v>
      </c>
      <c r="D355">
        <v>66.2</v>
      </c>
      <c r="E355">
        <v>132.4</v>
      </c>
      <c r="F355" s="12">
        <v>45703</v>
      </c>
      <c r="G355" s="12">
        <v>45704</v>
      </c>
      <c r="H355" t="s">
        <v>27</v>
      </c>
      <c r="I355" t="s">
        <v>70</v>
      </c>
      <c r="J355">
        <v>5</v>
      </c>
      <c r="K355" t="s">
        <v>19</v>
      </c>
      <c r="L355" t="s">
        <v>103</v>
      </c>
      <c r="M355">
        <v>1</v>
      </c>
      <c r="N355">
        <v>7</v>
      </c>
      <c r="O355" t="s">
        <v>2530</v>
      </c>
    </row>
    <row r="356" spans="1:15">
      <c r="A356" t="s">
        <v>1247</v>
      </c>
      <c r="B356" t="s">
        <v>46</v>
      </c>
      <c r="C356">
        <v>2</v>
      </c>
      <c r="D356">
        <v>49.4</v>
      </c>
      <c r="E356">
        <v>98.8</v>
      </c>
      <c r="F356" s="12">
        <v>45703</v>
      </c>
      <c r="G356" s="12">
        <v>45711</v>
      </c>
      <c r="H356" t="s">
        <v>23</v>
      </c>
      <c r="I356" t="s">
        <v>70</v>
      </c>
      <c r="J356">
        <v>3</v>
      </c>
      <c r="K356" t="s">
        <v>19</v>
      </c>
      <c r="L356" t="s">
        <v>62</v>
      </c>
      <c r="M356">
        <v>8</v>
      </c>
      <c r="N356">
        <v>7</v>
      </c>
      <c r="O356" t="s">
        <v>2531</v>
      </c>
    </row>
    <row r="357" spans="1:15">
      <c r="A357" t="s">
        <v>1245</v>
      </c>
      <c r="B357" t="s">
        <v>26</v>
      </c>
      <c r="C357">
        <v>2</v>
      </c>
      <c r="D357">
        <v>94.7</v>
      </c>
      <c r="E357">
        <v>189.4</v>
      </c>
      <c r="F357" s="12">
        <v>45702</v>
      </c>
      <c r="G357" s="12">
        <v>45703</v>
      </c>
      <c r="H357" t="s">
        <v>27</v>
      </c>
      <c r="I357" t="s">
        <v>40</v>
      </c>
      <c r="J357">
        <v>4</v>
      </c>
      <c r="K357" t="s">
        <v>19</v>
      </c>
      <c r="L357" t="s">
        <v>342</v>
      </c>
      <c r="M357">
        <v>1</v>
      </c>
      <c r="N357">
        <v>7</v>
      </c>
      <c r="O357" t="s">
        <v>2530</v>
      </c>
    </row>
    <row r="358" spans="1:15">
      <c r="A358" t="s">
        <v>1242</v>
      </c>
      <c r="B358" t="s">
        <v>44</v>
      </c>
      <c r="C358">
        <v>2</v>
      </c>
      <c r="D358">
        <v>19.600000000000001</v>
      </c>
      <c r="E358">
        <v>39.200000000000003</v>
      </c>
      <c r="F358" s="12">
        <v>45702</v>
      </c>
      <c r="G358" s="12">
        <v>45703</v>
      </c>
      <c r="H358" t="s">
        <v>23</v>
      </c>
      <c r="I358" t="s">
        <v>51</v>
      </c>
      <c r="J358">
        <v>2</v>
      </c>
      <c r="K358" t="s">
        <v>19</v>
      </c>
      <c r="L358" t="s">
        <v>545</v>
      </c>
      <c r="M358">
        <v>1</v>
      </c>
      <c r="N358">
        <v>7</v>
      </c>
      <c r="O358" t="s">
        <v>2531</v>
      </c>
    </row>
    <row r="359" spans="1:15">
      <c r="A359" t="s">
        <v>1241</v>
      </c>
      <c r="B359" t="s">
        <v>46</v>
      </c>
      <c r="C359">
        <v>2</v>
      </c>
      <c r="D359">
        <v>37.6</v>
      </c>
      <c r="E359">
        <v>75.2</v>
      </c>
      <c r="F359" s="12">
        <v>45702</v>
      </c>
      <c r="G359" s="12">
        <v>45704</v>
      </c>
      <c r="H359" t="s">
        <v>27</v>
      </c>
      <c r="I359" t="s">
        <v>35</v>
      </c>
      <c r="J359">
        <v>5</v>
      </c>
      <c r="K359" t="s">
        <v>19</v>
      </c>
      <c r="L359" t="s">
        <v>33</v>
      </c>
      <c r="M359">
        <v>2</v>
      </c>
      <c r="N359">
        <v>7</v>
      </c>
      <c r="O359" t="s">
        <v>2530</v>
      </c>
    </row>
    <row r="360" spans="1:15">
      <c r="A360" t="s">
        <v>1224</v>
      </c>
      <c r="B360" t="s">
        <v>46</v>
      </c>
      <c r="C360">
        <v>2</v>
      </c>
      <c r="D360">
        <v>24.1</v>
      </c>
      <c r="E360">
        <v>48.2</v>
      </c>
      <c r="F360" s="12">
        <v>45702</v>
      </c>
      <c r="G360" s="12">
        <v>45706</v>
      </c>
      <c r="H360" t="s">
        <v>27</v>
      </c>
      <c r="I360" t="s">
        <v>18</v>
      </c>
      <c r="J360">
        <v>4</v>
      </c>
      <c r="K360" t="s">
        <v>19</v>
      </c>
      <c r="L360" t="s">
        <v>55</v>
      </c>
      <c r="M360">
        <v>4</v>
      </c>
      <c r="N360">
        <v>7</v>
      </c>
      <c r="O360" t="s">
        <v>2530</v>
      </c>
    </row>
    <row r="361" spans="1:15">
      <c r="A361" t="s">
        <v>1222</v>
      </c>
      <c r="B361" t="s">
        <v>16</v>
      </c>
      <c r="C361">
        <v>2</v>
      </c>
      <c r="D361">
        <v>16</v>
      </c>
      <c r="E361">
        <v>32</v>
      </c>
      <c r="F361" s="12">
        <v>45702</v>
      </c>
      <c r="G361" s="12">
        <v>45703</v>
      </c>
      <c r="H361" t="s">
        <v>23</v>
      </c>
      <c r="I361" t="s">
        <v>35</v>
      </c>
      <c r="J361">
        <v>3</v>
      </c>
      <c r="K361" t="s">
        <v>19</v>
      </c>
      <c r="L361" t="s">
        <v>802</v>
      </c>
      <c r="M361">
        <v>1</v>
      </c>
      <c r="N361">
        <v>7</v>
      </c>
      <c r="O361" t="s">
        <v>2531</v>
      </c>
    </row>
    <row r="362" spans="1:15">
      <c r="A362" t="s">
        <v>1218</v>
      </c>
      <c r="B362" t="s">
        <v>69</v>
      </c>
      <c r="C362">
        <v>2</v>
      </c>
      <c r="D362">
        <v>117</v>
      </c>
      <c r="E362">
        <v>234</v>
      </c>
      <c r="F362" s="12">
        <v>45701</v>
      </c>
      <c r="G362" s="12">
        <v>45702</v>
      </c>
      <c r="H362" t="s">
        <v>27</v>
      </c>
      <c r="I362" t="s">
        <v>35</v>
      </c>
      <c r="J362">
        <v>3</v>
      </c>
      <c r="K362" t="s">
        <v>19</v>
      </c>
      <c r="L362" t="s">
        <v>33</v>
      </c>
      <c r="M362">
        <v>1</v>
      </c>
      <c r="N362">
        <v>7</v>
      </c>
      <c r="O362" t="s">
        <v>2530</v>
      </c>
    </row>
    <row r="363" spans="1:15">
      <c r="A363" t="s">
        <v>1206</v>
      </c>
      <c r="B363" t="s">
        <v>123</v>
      </c>
      <c r="C363">
        <v>2</v>
      </c>
      <c r="D363">
        <v>33.6</v>
      </c>
      <c r="E363">
        <v>67.2</v>
      </c>
      <c r="F363" s="12">
        <v>45701</v>
      </c>
      <c r="G363" s="12">
        <v>45706</v>
      </c>
      <c r="H363" t="s">
        <v>27</v>
      </c>
      <c r="I363" t="s">
        <v>18</v>
      </c>
      <c r="J363">
        <v>4</v>
      </c>
      <c r="K363" t="s">
        <v>19</v>
      </c>
      <c r="L363" t="s">
        <v>115</v>
      </c>
      <c r="M363">
        <v>5</v>
      </c>
      <c r="N363">
        <v>7</v>
      </c>
      <c r="O363" t="s">
        <v>2530</v>
      </c>
    </row>
    <row r="364" spans="1:15">
      <c r="A364" t="s">
        <v>1205</v>
      </c>
      <c r="B364" t="s">
        <v>44</v>
      </c>
      <c r="C364">
        <v>2</v>
      </c>
      <c r="D364">
        <v>22</v>
      </c>
      <c r="E364">
        <v>44</v>
      </c>
      <c r="F364" s="12">
        <v>45701</v>
      </c>
      <c r="G364" s="12">
        <v>45702</v>
      </c>
      <c r="H364" t="s">
        <v>23</v>
      </c>
      <c r="I364" t="s">
        <v>40</v>
      </c>
      <c r="J364">
        <v>5</v>
      </c>
      <c r="K364" t="s">
        <v>19</v>
      </c>
      <c r="L364" t="s">
        <v>1116</v>
      </c>
      <c r="M364">
        <v>1</v>
      </c>
      <c r="N364">
        <v>7</v>
      </c>
      <c r="O364" t="s">
        <v>2531</v>
      </c>
    </row>
    <row r="365" spans="1:15">
      <c r="A365" t="s">
        <v>1204</v>
      </c>
      <c r="B365" t="s">
        <v>171</v>
      </c>
      <c r="C365">
        <v>2</v>
      </c>
      <c r="D365">
        <v>16.399999999999999</v>
      </c>
      <c r="E365">
        <v>32.799999999999997</v>
      </c>
      <c r="F365" s="12">
        <v>45701</v>
      </c>
      <c r="G365" s="12">
        <v>45702</v>
      </c>
      <c r="H365" t="s">
        <v>89</v>
      </c>
      <c r="I365" t="s">
        <v>18</v>
      </c>
      <c r="J365">
        <v>5</v>
      </c>
      <c r="K365" t="s">
        <v>19</v>
      </c>
      <c r="L365" t="s">
        <v>77</v>
      </c>
      <c r="M365">
        <v>1</v>
      </c>
      <c r="N365">
        <v>7</v>
      </c>
      <c r="O365" t="s">
        <v>2532</v>
      </c>
    </row>
    <row r="366" spans="1:15">
      <c r="A366" t="s">
        <v>1196</v>
      </c>
      <c r="B366" t="s">
        <v>42</v>
      </c>
      <c r="C366">
        <v>2</v>
      </c>
      <c r="D366">
        <v>54.3</v>
      </c>
      <c r="E366">
        <v>108.6</v>
      </c>
      <c r="F366" s="12">
        <v>45701</v>
      </c>
      <c r="G366" s="12">
        <v>45702</v>
      </c>
      <c r="H366" t="s">
        <v>23</v>
      </c>
      <c r="I366" t="s">
        <v>51</v>
      </c>
      <c r="J366">
        <v>4</v>
      </c>
      <c r="K366" t="s">
        <v>19</v>
      </c>
      <c r="L366" t="s">
        <v>342</v>
      </c>
      <c r="M366">
        <v>1</v>
      </c>
      <c r="N366">
        <v>7</v>
      </c>
      <c r="O366" t="s">
        <v>2531</v>
      </c>
    </row>
    <row r="367" spans="1:15">
      <c r="A367" t="s">
        <v>1192</v>
      </c>
      <c r="B367" t="s">
        <v>16</v>
      </c>
      <c r="C367">
        <v>2</v>
      </c>
      <c r="D367">
        <v>25.8</v>
      </c>
      <c r="E367">
        <v>51.6</v>
      </c>
      <c r="F367" s="12">
        <v>45700</v>
      </c>
      <c r="G367" s="12">
        <v>45714</v>
      </c>
      <c r="H367" t="s">
        <v>23</v>
      </c>
      <c r="I367" t="s">
        <v>40</v>
      </c>
      <c r="J367">
        <v>4</v>
      </c>
      <c r="K367" t="s">
        <v>19</v>
      </c>
      <c r="L367" t="s">
        <v>33</v>
      </c>
      <c r="M367">
        <v>14</v>
      </c>
      <c r="N367">
        <v>7</v>
      </c>
      <c r="O367" t="s">
        <v>2531</v>
      </c>
    </row>
    <row r="368" spans="1:15">
      <c r="A368" t="s">
        <v>1188</v>
      </c>
      <c r="B368" t="s">
        <v>16</v>
      </c>
      <c r="C368">
        <v>2</v>
      </c>
      <c r="D368">
        <v>28.5</v>
      </c>
      <c r="E368">
        <v>57</v>
      </c>
      <c r="F368" s="12">
        <v>45700</v>
      </c>
      <c r="G368" s="12">
        <v>45702</v>
      </c>
      <c r="H368" t="s">
        <v>23</v>
      </c>
      <c r="I368" t="s">
        <v>51</v>
      </c>
      <c r="J368">
        <v>3</v>
      </c>
      <c r="K368" t="s">
        <v>19</v>
      </c>
      <c r="L368" t="s">
        <v>33</v>
      </c>
      <c r="M368">
        <v>2</v>
      </c>
      <c r="N368">
        <v>7</v>
      </c>
      <c r="O368" t="s">
        <v>2531</v>
      </c>
    </row>
    <row r="369" spans="1:15">
      <c r="A369" t="s">
        <v>1187</v>
      </c>
      <c r="B369" t="s">
        <v>42</v>
      </c>
      <c r="C369">
        <v>2</v>
      </c>
      <c r="D369">
        <v>57.4</v>
      </c>
      <c r="E369">
        <v>114.8</v>
      </c>
      <c r="F369" s="12">
        <v>45700</v>
      </c>
      <c r="G369" s="12">
        <v>45702</v>
      </c>
      <c r="H369" t="s">
        <v>27</v>
      </c>
      <c r="I369" t="s">
        <v>35</v>
      </c>
      <c r="J369">
        <v>3</v>
      </c>
      <c r="K369" t="s">
        <v>19</v>
      </c>
      <c r="L369" t="s">
        <v>334</v>
      </c>
      <c r="M369">
        <v>2</v>
      </c>
      <c r="N369">
        <v>7</v>
      </c>
      <c r="O369" t="s">
        <v>2530</v>
      </c>
    </row>
    <row r="370" spans="1:15">
      <c r="A370" t="s">
        <v>456</v>
      </c>
      <c r="B370" t="s">
        <v>135</v>
      </c>
      <c r="C370">
        <v>2</v>
      </c>
      <c r="D370">
        <v>49.9</v>
      </c>
      <c r="E370">
        <v>99.8</v>
      </c>
      <c r="F370" s="12">
        <v>45673</v>
      </c>
      <c r="G370" s="12">
        <v>45678</v>
      </c>
      <c r="H370" t="s">
        <v>23</v>
      </c>
      <c r="I370" t="s">
        <v>70</v>
      </c>
      <c r="J370">
        <v>2</v>
      </c>
      <c r="K370" t="s">
        <v>19</v>
      </c>
      <c r="L370" t="s">
        <v>74</v>
      </c>
      <c r="M370">
        <v>5</v>
      </c>
      <c r="N370">
        <v>3</v>
      </c>
      <c r="O370" t="s">
        <v>2531</v>
      </c>
    </row>
    <row r="371" spans="1:15">
      <c r="A371" t="s">
        <v>1186</v>
      </c>
      <c r="B371" t="s">
        <v>39</v>
      </c>
      <c r="C371">
        <v>2</v>
      </c>
      <c r="D371">
        <v>70.8</v>
      </c>
      <c r="E371">
        <v>141.6</v>
      </c>
      <c r="F371" s="12">
        <v>45700</v>
      </c>
      <c r="G371" s="12">
        <v>45703</v>
      </c>
      <c r="H371" t="s">
        <v>23</v>
      </c>
      <c r="I371" t="s">
        <v>40</v>
      </c>
      <c r="J371">
        <v>4</v>
      </c>
      <c r="K371" t="s">
        <v>19</v>
      </c>
      <c r="L371" t="s">
        <v>147</v>
      </c>
      <c r="M371">
        <v>3</v>
      </c>
      <c r="N371">
        <v>7</v>
      </c>
      <c r="O371" t="s">
        <v>2531</v>
      </c>
    </row>
    <row r="372" spans="1:15">
      <c r="A372" t="s">
        <v>1185</v>
      </c>
      <c r="B372" t="s">
        <v>26</v>
      </c>
      <c r="C372">
        <v>2</v>
      </c>
      <c r="D372">
        <v>174.1</v>
      </c>
      <c r="E372">
        <v>348.2</v>
      </c>
      <c r="F372" s="12">
        <v>45700</v>
      </c>
      <c r="G372" s="12">
        <v>45702</v>
      </c>
      <c r="H372" t="s">
        <v>27</v>
      </c>
      <c r="I372" t="s">
        <v>18</v>
      </c>
      <c r="J372">
        <v>3</v>
      </c>
      <c r="K372" t="s">
        <v>19</v>
      </c>
      <c r="L372" t="s">
        <v>641</v>
      </c>
      <c r="M372">
        <v>2</v>
      </c>
      <c r="N372">
        <v>7</v>
      </c>
      <c r="O372" t="s">
        <v>2530</v>
      </c>
    </row>
    <row r="373" spans="1:15">
      <c r="A373" t="s">
        <v>1180</v>
      </c>
      <c r="B373" t="s">
        <v>46</v>
      </c>
      <c r="C373">
        <v>2</v>
      </c>
      <c r="D373">
        <v>29.2</v>
      </c>
      <c r="E373">
        <v>58.4</v>
      </c>
      <c r="F373" s="12">
        <v>45700</v>
      </c>
      <c r="G373" s="12">
        <v>45702</v>
      </c>
      <c r="H373" t="s">
        <v>27</v>
      </c>
      <c r="I373" t="s">
        <v>35</v>
      </c>
      <c r="J373">
        <v>5</v>
      </c>
      <c r="K373" t="s">
        <v>19</v>
      </c>
      <c r="L373" t="s">
        <v>113</v>
      </c>
      <c r="M373">
        <v>2</v>
      </c>
      <c r="N373">
        <v>7</v>
      </c>
      <c r="O373" t="s">
        <v>2530</v>
      </c>
    </row>
    <row r="374" spans="1:15">
      <c r="A374" t="s">
        <v>1171</v>
      </c>
      <c r="B374" t="s">
        <v>30</v>
      </c>
      <c r="C374">
        <v>2</v>
      </c>
      <c r="D374">
        <v>55.2</v>
      </c>
      <c r="E374">
        <v>110.4</v>
      </c>
      <c r="F374" s="12">
        <v>45699</v>
      </c>
      <c r="G374" s="12">
        <v>45702</v>
      </c>
      <c r="H374" t="s">
        <v>23</v>
      </c>
      <c r="I374" t="s">
        <v>35</v>
      </c>
      <c r="J374">
        <v>3</v>
      </c>
      <c r="K374" t="s">
        <v>19</v>
      </c>
      <c r="L374" t="s">
        <v>55</v>
      </c>
      <c r="M374">
        <v>3</v>
      </c>
      <c r="N374">
        <v>7</v>
      </c>
      <c r="O374" t="s">
        <v>2531</v>
      </c>
    </row>
    <row r="375" spans="1:15">
      <c r="A375" t="s">
        <v>1167</v>
      </c>
      <c r="B375" t="s">
        <v>46</v>
      </c>
      <c r="C375">
        <v>2</v>
      </c>
      <c r="D375">
        <v>70.099999999999994</v>
      </c>
      <c r="E375">
        <v>140.19999999999999</v>
      </c>
      <c r="F375" s="12">
        <v>45699</v>
      </c>
      <c r="G375" s="12">
        <v>45707</v>
      </c>
      <c r="H375" t="s">
        <v>27</v>
      </c>
      <c r="I375" t="s">
        <v>51</v>
      </c>
      <c r="J375">
        <v>5</v>
      </c>
      <c r="K375" t="s">
        <v>19</v>
      </c>
      <c r="L375" t="s">
        <v>33</v>
      </c>
      <c r="M375">
        <v>8</v>
      </c>
      <c r="N375">
        <v>7</v>
      </c>
      <c r="O375" t="s">
        <v>2530</v>
      </c>
    </row>
    <row r="376" spans="1:15">
      <c r="A376" t="s">
        <v>1165</v>
      </c>
      <c r="B376" t="s">
        <v>26</v>
      </c>
      <c r="C376">
        <v>2</v>
      </c>
      <c r="D376">
        <v>176.7</v>
      </c>
      <c r="E376">
        <v>353.4</v>
      </c>
      <c r="F376" s="12">
        <v>45699</v>
      </c>
      <c r="G376" s="12">
        <v>45702</v>
      </c>
      <c r="H376" t="s">
        <v>27</v>
      </c>
      <c r="I376" t="s">
        <v>40</v>
      </c>
      <c r="J376">
        <v>4</v>
      </c>
      <c r="K376" t="s">
        <v>19</v>
      </c>
      <c r="L376" t="s">
        <v>33</v>
      </c>
      <c r="M376">
        <v>3</v>
      </c>
      <c r="N376">
        <v>7</v>
      </c>
      <c r="O376" t="s">
        <v>2530</v>
      </c>
    </row>
    <row r="377" spans="1:15">
      <c r="A377" t="s">
        <v>1164</v>
      </c>
      <c r="B377" t="s">
        <v>146</v>
      </c>
      <c r="C377">
        <v>2</v>
      </c>
      <c r="D377">
        <v>53.2</v>
      </c>
      <c r="E377">
        <v>106.4</v>
      </c>
      <c r="F377" s="12">
        <v>45699</v>
      </c>
      <c r="G377" s="12">
        <v>45699</v>
      </c>
      <c r="H377" t="s">
        <v>23</v>
      </c>
      <c r="I377" t="s">
        <v>35</v>
      </c>
      <c r="J377">
        <v>4</v>
      </c>
      <c r="K377" t="s">
        <v>19</v>
      </c>
      <c r="L377" t="s">
        <v>33</v>
      </c>
      <c r="M377">
        <v>0</v>
      </c>
      <c r="N377">
        <v>7</v>
      </c>
      <c r="O377" t="s">
        <v>2531</v>
      </c>
    </row>
    <row r="378" spans="1:15">
      <c r="A378" t="s">
        <v>464</v>
      </c>
      <c r="B378" t="s">
        <v>22</v>
      </c>
      <c r="C378">
        <v>2</v>
      </c>
      <c r="D378">
        <v>108.3</v>
      </c>
      <c r="E378">
        <v>216.6</v>
      </c>
      <c r="F378" s="12">
        <v>45674</v>
      </c>
      <c r="G378" s="12">
        <v>45677</v>
      </c>
      <c r="H378" t="s">
        <v>89</v>
      </c>
      <c r="I378" t="s">
        <v>70</v>
      </c>
      <c r="J378">
        <v>4</v>
      </c>
      <c r="K378" t="s">
        <v>19</v>
      </c>
      <c r="L378" t="s">
        <v>33</v>
      </c>
      <c r="M378">
        <v>3</v>
      </c>
      <c r="N378">
        <v>3</v>
      </c>
      <c r="O378" t="s">
        <v>2532</v>
      </c>
    </row>
    <row r="379" spans="1:15">
      <c r="A379" t="s">
        <v>1159</v>
      </c>
      <c r="B379" t="s">
        <v>146</v>
      </c>
      <c r="C379">
        <v>2</v>
      </c>
      <c r="D379">
        <v>30.2</v>
      </c>
      <c r="E379">
        <v>60.4</v>
      </c>
      <c r="F379" s="12">
        <v>45699</v>
      </c>
      <c r="G379" s="12">
        <v>45701</v>
      </c>
      <c r="H379" t="s">
        <v>17</v>
      </c>
      <c r="I379" t="s">
        <v>40</v>
      </c>
      <c r="J379">
        <v>5</v>
      </c>
      <c r="K379" t="s">
        <v>19</v>
      </c>
      <c r="L379" t="s">
        <v>33</v>
      </c>
      <c r="M379">
        <v>2</v>
      </c>
      <c r="N379">
        <v>7</v>
      </c>
      <c r="O379" t="s">
        <v>2533</v>
      </c>
    </row>
    <row r="380" spans="1:15">
      <c r="A380" t="s">
        <v>1155</v>
      </c>
      <c r="B380" t="s">
        <v>46</v>
      </c>
      <c r="C380">
        <v>2</v>
      </c>
      <c r="D380">
        <v>50.6</v>
      </c>
      <c r="E380">
        <v>101.2</v>
      </c>
      <c r="F380" s="12">
        <v>45699</v>
      </c>
      <c r="G380" s="12">
        <v>45702</v>
      </c>
      <c r="H380" t="s">
        <v>27</v>
      </c>
      <c r="I380" t="s">
        <v>18</v>
      </c>
      <c r="J380">
        <v>4</v>
      </c>
      <c r="K380" t="s">
        <v>19</v>
      </c>
      <c r="L380" t="s">
        <v>28</v>
      </c>
      <c r="M380">
        <v>3</v>
      </c>
      <c r="N380">
        <v>7</v>
      </c>
      <c r="O380" t="s">
        <v>2530</v>
      </c>
    </row>
    <row r="381" spans="1:15">
      <c r="A381" t="s">
        <v>1143</v>
      </c>
      <c r="B381" t="s">
        <v>32</v>
      </c>
      <c r="C381">
        <v>2</v>
      </c>
      <c r="D381">
        <v>23.9</v>
      </c>
      <c r="E381">
        <v>47.8</v>
      </c>
      <c r="F381" s="12">
        <v>45698</v>
      </c>
      <c r="G381" s="12">
        <v>45699</v>
      </c>
      <c r="H381" t="s">
        <v>23</v>
      </c>
      <c r="I381" t="s">
        <v>18</v>
      </c>
      <c r="J381">
        <v>5</v>
      </c>
      <c r="K381" t="s">
        <v>19</v>
      </c>
      <c r="L381" t="s">
        <v>62</v>
      </c>
      <c r="M381">
        <v>1</v>
      </c>
      <c r="N381">
        <v>7</v>
      </c>
      <c r="O381" t="s">
        <v>2531</v>
      </c>
    </row>
    <row r="382" spans="1:15">
      <c r="A382" t="s">
        <v>1134</v>
      </c>
      <c r="B382" t="s">
        <v>32</v>
      </c>
      <c r="C382">
        <v>2</v>
      </c>
      <c r="D382">
        <v>32.5</v>
      </c>
      <c r="E382">
        <v>65</v>
      </c>
      <c r="F382" s="12">
        <v>45698</v>
      </c>
      <c r="G382" s="12">
        <v>45699</v>
      </c>
      <c r="H382" t="s">
        <v>23</v>
      </c>
      <c r="I382" t="s">
        <v>40</v>
      </c>
      <c r="J382">
        <v>5</v>
      </c>
      <c r="K382" t="s">
        <v>19</v>
      </c>
      <c r="L382" t="s">
        <v>545</v>
      </c>
      <c r="M382">
        <v>1</v>
      </c>
      <c r="N382">
        <v>7</v>
      </c>
      <c r="O382" t="s">
        <v>2531</v>
      </c>
    </row>
    <row r="383" spans="1:15">
      <c r="A383" t="s">
        <v>1129</v>
      </c>
      <c r="B383" t="s">
        <v>54</v>
      </c>
      <c r="C383">
        <v>2</v>
      </c>
      <c r="D383">
        <v>30.7</v>
      </c>
      <c r="E383">
        <v>61.4</v>
      </c>
      <c r="F383" s="12">
        <v>45698</v>
      </c>
      <c r="G383" s="12">
        <v>45699</v>
      </c>
      <c r="H383" t="s">
        <v>27</v>
      </c>
      <c r="I383" t="s">
        <v>18</v>
      </c>
      <c r="J383">
        <v>3</v>
      </c>
      <c r="K383" t="s">
        <v>19</v>
      </c>
      <c r="L383" t="s">
        <v>33</v>
      </c>
      <c r="M383">
        <v>1</v>
      </c>
      <c r="N383">
        <v>7</v>
      </c>
      <c r="O383" t="s">
        <v>2530</v>
      </c>
    </row>
    <row r="384" spans="1:15">
      <c r="A384" t="s">
        <v>470</v>
      </c>
      <c r="B384" t="s">
        <v>39</v>
      </c>
      <c r="C384">
        <v>2</v>
      </c>
      <c r="D384">
        <v>90.9</v>
      </c>
      <c r="E384">
        <v>181.8</v>
      </c>
      <c r="F384" s="12">
        <v>45674</v>
      </c>
      <c r="G384" s="12">
        <v>45675</v>
      </c>
      <c r="H384" t="s">
        <v>23</v>
      </c>
      <c r="I384" t="s">
        <v>35</v>
      </c>
      <c r="J384">
        <v>4</v>
      </c>
      <c r="K384" t="s">
        <v>19</v>
      </c>
      <c r="L384" t="s">
        <v>55</v>
      </c>
      <c r="M384">
        <v>1</v>
      </c>
      <c r="N384">
        <v>3</v>
      </c>
      <c r="O384" t="s">
        <v>2531</v>
      </c>
    </row>
    <row r="385" spans="1:15">
      <c r="A385" t="s">
        <v>1128</v>
      </c>
      <c r="B385" t="s">
        <v>39</v>
      </c>
      <c r="C385">
        <v>2</v>
      </c>
      <c r="D385">
        <v>94</v>
      </c>
      <c r="E385">
        <v>188</v>
      </c>
      <c r="F385" s="12">
        <v>45698</v>
      </c>
      <c r="G385" s="12">
        <v>45699</v>
      </c>
      <c r="H385" t="s">
        <v>23</v>
      </c>
      <c r="I385" t="s">
        <v>40</v>
      </c>
      <c r="J385">
        <v>5</v>
      </c>
      <c r="K385" t="s">
        <v>19</v>
      </c>
      <c r="L385" t="s">
        <v>33</v>
      </c>
      <c r="M385">
        <v>1</v>
      </c>
      <c r="N385">
        <v>7</v>
      </c>
      <c r="O385" t="s">
        <v>2531</v>
      </c>
    </row>
    <row r="386" spans="1:15">
      <c r="A386" t="s">
        <v>1123</v>
      </c>
      <c r="B386" t="s">
        <v>22</v>
      </c>
      <c r="C386">
        <v>2</v>
      </c>
      <c r="D386">
        <v>38.299999999999997</v>
      </c>
      <c r="E386">
        <v>76.599999999999994</v>
      </c>
      <c r="F386" s="12">
        <v>45698</v>
      </c>
      <c r="G386" s="12">
        <v>45699</v>
      </c>
      <c r="H386" t="s">
        <v>27</v>
      </c>
      <c r="I386" t="s">
        <v>35</v>
      </c>
      <c r="J386">
        <v>4</v>
      </c>
      <c r="K386" t="s">
        <v>19</v>
      </c>
      <c r="L386" t="s">
        <v>33</v>
      </c>
      <c r="M386">
        <v>1</v>
      </c>
      <c r="N386">
        <v>7</v>
      </c>
      <c r="O386" t="s">
        <v>2530</v>
      </c>
    </row>
    <row r="387" spans="1:15">
      <c r="A387" t="s">
        <v>1122</v>
      </c>
      <c r="B387" t="s">
        <v>39</v>
      </c>
      <c r="C387">
        <v>2</v>
      </c>
      <c r="D387">
        <v>56</v>
      </c>
      <c r="E387">
        <v>112</v>
      </c>
      <c r="F387" s="12">
        <v>45698</v>
      </c>
      <c r="G387" s="12">
        <v>45698</v>
      </c>
      <c r="H387" t="s">
        <v>23</v>
      </c>
      <c r="I387" t="s">
        <v>18</v>
      </c>
      <c r="J387">
        <v>5</v>
      </c>
      <c r="K387" t="s">
        <v>19</v>
      </c>
      <c r="L387" t="s">
        <v>147</v>
      </c>
      <c r="M387">
        <v>0</v>
      </c>
      <c r="N387">
        <v>7</v>
      </c>
      <c r="O387" t="s">
        <v>2531</v>
      </c>
    </row>
    <row r="388" spans="1:15">
      <c r="A388" t="s">
        <v>1112</v>
      </c>
      <c r="B388" t="s">
        <v>76</v>
      </c>
      <c r="C388">
        <v>2</v>
      </c>
      <c r="D388">
        <v>53.1</v>
      </c>
      <c r="E388">
        <v>106.2</v>
      </c>
      <c r="F388" s="12">
        <v>45697</v>
      </c>
      <c r="G388" s="12">
        <v>45700</v>
      </c>
      <c r="H388" t="s">
        <v>23</v>
      </c>
      <c r="I388" t="s">
        <v>35</v>
      </c>
      <c r="J388">
        <v>4</v>
      </c>
      <c r="K388" t="s">
        <v>19</v>
      </c>
      <c r="L388" t="s">
        <v>62</v>
      </c>
      <c r="M388">
        <v>3</v>
      </c>
      <c r="N388">
        <v>7</v>
      </c>
      <c r="O388" t="s">
        <v>2531</v>
      </c>
    </row>
    <row r="389" spans="1:15">
      <c r="A389" t="s">
        <v>1111</v>
      </c>
      <c r="B389" t="s">
        <v>37</v>
      </c>
      <c r="C389">
        <v>2</v>
      </c>
      <c r="D389">
        <v>31.4</v>
      </c>
      <c r="E389">
        <v>62.8</v>
      </c>
      <c r="F389" s="12">
        <v>45697</v>
      </c>
      <c r="G389" s="12">
        <v>45699</v>
      </c>
      <c r="H389" t="s">
        <v>27</v>
      </c>
      <c r="I389" t="s">
        <v>18</v>
      </c>
      <c r="J389">
        <v>4</v>
      </c>
      <c r="K389" t="s">
        <v>19</v>
      </c>
      <c r="L389" t="s">
        <v>62</v>
      </c>
      <c r="M389">
        <v>2</v>
      </c>
      <c r="N389">
        <v>7</v>
      </c>
      <c r="O389" t="s">
        <v>2530</v>
      </c>
    </row>
    <row r="390" spans="1:15">
      <c r="A390" t="s">
        <v>1103</v>
      </c>
      <c r="B390" t="s">
        <v>32</v>
      </c>
      <c r="C390">
        <v>2</v>
      </c>
      <c r="D390">
        <v>20.7</v>
      </c>
      <c r="E390">
        <v>41.4</v>
      </c>
      <c r="F390" s="12">
        <v>45697</v>
      </c>
      <c r="G390" s="12">
        <v>45698</v>
      </c>
      <c r="H390" t="s">
        <v>27</v>
      </c>
      <c r="I390" t="s">
        <v>40</v>
      </c>
      <c r="J390">
        <v>1</v>
      </c>
      <c r="K390" t="s">
        <v>19</v>
      </c>
      <c r="L390" t="s">
        <v>55</v>
      </c>
      <c r="M390">
        <v>1</v>
      </c>
      <c r="N390">
        <v>7</v>
      </c>
      <c r="O390" t="s">
        <v>2530</v>
      </c>
    </row>
    <row r="391" spans="1:15">
      <c r="A391" t="s">
        <v>1098</v>
      </c>
      <c r="B391" t="s">
        <v>42</v>
      </c>
      <c r="C391">
        <v>2</v>
      </c>
      <c r="D391">
        <v>33.6</v>
      </c>
      <c r="E391">
        <v>67.2</v>
      </c>
      <c r="F391" s="12">
        <v>45697</v>
      </c>
      <c r="G391" s="12">
        <v>45701</v>
      </c>
      <c r="H391" t="s">
        <v>27</v>
      </c>
      <c r="I391" t="s">
        <v>40</v>
      </c>
      <c r="J391">
        <v>5</v>
      </c>
      <c r="K391" t="s">
        <v>19</v>
      </c>
      <c r="L391" t="s">
        <v>33</v>
      </c>
      <c r="M391">
        <v>4</v>
      </c>
      <c r="N391">
        <v>7</v>
      </c>
      <c r="O391" t="s">
        <v>2530</v>
      </c>
    </row>
    <row r="392" spans="1:15">
      <c r="A392" t="s">
        <v>1095</v>
      </c>
      <c r="B392" t="s">
        <v>39</v>
      </c>
      <c r="C392">
        <v>2</v>
      </c>
      <c r="D392">
        <v>100.8</v>
      </c>
      <c r="E392">
        <v>201.6</v>
      </c>
      <c r="F392" s="12">
        <v>45697</v>
      </c>
      <c r="G392" s="12">
        <v>45700</v>
      </c>
      <c r="H392" t="s">
        <v>27</v>
      </c>
      <c r="I392" t="s">
        <v>18</v>
      </c>
      <c r="J392">
        <v>4</v>
      </c>
      <c r="K392" t="s">
        <v>19</v>
      </c>
      <c r="L392" t="s">
        <v>33</v>
      </c>
      <c r="M392">
        <v>3</v>
      </c>
      <c r="N392">
        <v>7</v>
      </c>
      <c r="O392" t="s">
        <v>2530</v>
      </c>
    </row>
    <row r="393" spans="1:15">
      <c r="A393" t="s">
        <v>1090</v>
      </c>
      <c r="B393" t="s">
        <v>37</v>
      </c>
      <c r="C393">
        <v>2</v>
      </c>
      <c r="D393">
        <v>50.7</v>
      </c>
      <c r="E393">
        <v>101.4</v>
      </c>
      <c r="F393" s="12">
        <v>45697</v>
      </c>
      <c r="G393" s="12">
        <v>45698</v>
      </c>
      <c r="H393" t="s">
        <v>89</v>
      </c>
      <c r="I393" t="s">
        <v>40</v>
      </c>
      <c r="J393">
        <v>5</v>
      </c>
      <c r="K393" t="s">
        <v>19</v>
      </c>
      <c r="L393" t="s">
        <v>33</v>
      </c>
      <c r="M393">
        <v>1</v>
      </c>
      <c r="N393">
        <v>7</v>
      </c>
      <c r="O393" t="s">
        <v>2532</v>
      </c>
    </row>
    <row r="394" spans="1:15">
      <c r="A394" t="s">
        <v>1088</v>
      </c>
      <c r="B394" t="s">
        <v>39</v>
      </c>
      <c r="C394">
        <v>2</v>
      </c>
      <c r="D394">
        <v>50.6</v>
      </c>
      <c r="E394">
        <v>101.2</v>
      </c>
      <c r="F394" s="12">
        <v>45697</v>
      </c>
      <c r="G394" s="12">
        <v>45703</v>
      </c>
      <c r="H394" t="s">
        <v>17</v>
      </c>
      <c r="I394" t="s">
        <v>18</v>
      </c>
      <c r="J394">
        <v>4</v>
      </c>
      <c r="K394" t="s">
        <v>19</v>
      </c>
      <c r="L394" t="s">
        <v>33</v>
      </c>
      <c r="M394">
        <v>6</v>
      </c>
      <c r="N394">
        <v>7</v>
      </c>
      <c r="O394" t="s">
        <v>2533</v>
      </c>
    </row>
    <row r="395" spans="1:15">
      <c r="A395" t="s">
        <v>481</v>
      </c>
      <c r="B395" t="s">
        <v>69</v>
      </c>
      <c r="C395">
        <v>2</v>
      </c>
      <c r="D395">
        <v>69.3</v>
      </c>
      <c r="E395">
        <v>138.6</v>
      </c>
      <c r="F395" s="12">
        <v>45675</v>
      </c>
      <c r="G395" s="12">
        <v>45678</v>
      </c>
      <c r="H395" t="s">
        <v>23</v>
      </c>
      <c r="I395" t="s">
        <v>35</v>
      </c>
      <c r="J395">
        <v>3</v>
      </c>
      <c r="K395" t="s">
        <v>19</v>
      </c>
      <c r="L395" t="s">
        <v>82</v>
      </c>
      <c r="M395">
        <v>3</v>
      </c>
      <c r="N395">
        <v>3</v>
      </c>
      <c r="O395" t="s">
        <v>2531</v>
      </c>
    </row>
    <row r="396" spans="1:15">
      <c r="A396" t="s">
        <v>1080</v>
      </c>
      <c r="B396" t="s">
        <v>26</v>
      </c>
      <c r="C396">
        <v>2</v>
      </c>
      <c r="D396">
        <v>167.9</v>
      </c>
      <c r="E396">
        <v>335.8</v>
      </c>
      <c r="F396" s="12">
        <v>45696</v>
      </c>
      <c r="G396" s="12">
        <v>45697</v>
      </c>
      <c r="H396" t="s">
        <v>27</v>
      </c>
      <c r="I396" t="s">
        <v>51</v>
      </c>
      <c r="J396">
        <v>5</v>
      </c>
      <c r="K396" t="s">
        <v>19</v>
      </c>
      <c r="L396" t="s">
        <v>115</v>
      </c>
      <c r="M396">
        <v>1</v>
      </c>
      <c r="N396">
        <v>6</v>
      </c>
      <c r="O396" t="s">
        <v>2530</v>
      </c>
    </row>
    <row r="397" spans="1:15">
      <c r="A397" t="s">
        <v>1076</v>
      </c>
      <c r="B397" t="s">
        <v>54</v>
      </c>
      <c r="C397">
        <v>2</v>
      </c>
      <c r="D397">
        <v>34.6</v>
      </c>
      <c r="E397">
        <v>69.2</v>
      </c>
      <c r="F397" s="12">
        <v>45696</v>
      </c>
      <c r="G397" s="12">
        <v>45700</v>
      </c>
      <c r="H397" t="s">
        <v>27</v>
      </c>
      <c r="I397" t="s">
        <v>18</v>
      </c>
      <c r="J397">
        <v>3</v>
      </c>
      <c r="K397" t="s">
        <v>19</v>
      </c>
      <c r="L397" t="s">
        <v>110</v>
      </c>
      <c r="M397">
        <v>4</v>
      </c>
      <c r="N397">
        <v>6</v>
      </c>
      <c r="O397" t="s">
        <v>2530</v>
      </c>
    </row>
    <row r="398" spans="1:15">
      <c r="A398" t="s">
        <v>484</v>
      </c>
      <c r="B398" t="s">
        <v>146</v>
      </c>
      <c r="C398">
        <v>2</v>
      </c>
      <c r="D398">
        <v>69.7</v>
      </c>
      <c r="E398">
        <v>139.4</v>
      </c>
      <c r="F398" s="12">
        <v>45675</v>
      </c>
      <c r="G398" s="12">
        <v>45680</v>
      </c>
      <c r="H398" t="s">
        <v>23</v>
      </c>
      <c r="I398" t="s">
        <v>35</v>
      </c>
      <c r="J398">
        <v>4</v>
      </c>
      <c r="K398" t="s">
        <v>19</v>
      </c>
      <c r="L398" t="s">
        <v>115</v>
      </c>
      <c r="M398">
        <v>5</v>
      </c>
      <c r="N398">
        <v>3</v>
      </c>
      <c r="O398" t="s">
        <v>2531</v>
      </c>
    </row>
    <row r="399" spans="1:15">
      <c r="A399" t="s">
        <v>1069</v>
      </c>
      <c r="B399" t="s">
        <v>39</v>
      </c>
      <c r="C399">
        <v>2</v>
      </c>
      <c r="D399">
        <v>58.9</v>
      </c>
      <c r="E399">
        <v>117.8</v>
      </c>
      <c r="F399" s="12">
        <v>45696</v>
      </c>
      <c r="G399" s="12">
        <v>45697</v>
      </c>
      <c r="H399" t="s">
        <v>23</v>
      </c>
      <c r="I399" t="s">
        <v>35</v>
      </c>
      <c r="J399">
        <v>4</v>
      </c>
      <c r="K399" t="s">
        <v>19</v>
      </c>
      <c r="L399" t="s">
        <v>62</v>
      </c>
      <c r="M399">
        <v>1</v>
      </c>
      <c r="N399">
        <v>6</v>
      </c>
      <c r="O399" t="s">
        <v>2531</v>
      </c>
    </row>
    <row r="400" spans="1:15">
      <c r="A400" t="s">
        <v>1067</v>
      </c>
      <c r="B400" t="s">
        <v>30</v>
      </c>
      <c r="C400">
        <v>2</v>
      </c>
      <c r="D400">
        <v>111.4</v>
      </c>
      <c r="E400">
        <v>222.8</v>
      </c>
      <c r="F400" s="12">
        <v>45696</v>
      </c>
      <c r="G400" s="12">
        <v>45697</v>
      </c>
      <c r="H400" t="s">
        <v>27</v>
      </c>
      <c r="I400" t="s">
        <v>35</v>
      </c>
      <c r="J400">
        <v>4</v>
      </c>
      <c r="K400" t="s">
        <v>19</v>
      </c>
      <c r="L400" t="s">
        <v>62</v>
      </c>
      <c r="M400">
        <v>1</v>
      </c>
      <c r="N400">
        <v>6</v>
      </c>
      <c r="O400" t="s">
        <v>2530</v>
      </c>
    </row>
    <row r="401" spans="1:15">
      <c r="A401" t="s">
        <v>1065</v>
      </c>
      <c r="B401" t="s">
        <v>46</v>
      </c>
      <c r="C401">
        <v>2</v>
      </c>
      <c r="D401">
        <v>38.6</v>
      </c>
      <c r="E401">
        <v>77.2</v>
      </c>
      <c r="F401" s="12">
        <v>45696</v>
      </c>
      <c r="G401" s="12">
        <v>45700</v>
      </c>
      <c r="H401" t="s">
        <v>27</v>
      </c>
      <c r="I401" t="s">
        <v>70</v>
      </c>
      <c r="J401">
        <v>4</v>
      </c>
      <c r="K401" t="s">
        <v>19</v>
      </c>
      <c r="L401" t="s">
        <v>59</v>
      </c>
      <c r="M401">
        <v>4</v>
      </c>
      <c r="N401">
        <v>6</v>
      </c>
      <c r="O401" t="s">
        <v>2530</v>
      </c>
    </row>
    <row r="402" spans="1:15">
      <c r="A402" t="s">
        <v>1062</v>
      </c>
      <c r="B402" t="s">
        <v>16</v>
      </c>
      <c r="C402">
        <v>2</v>
      </c>
      <c r="D402">
        <v>12</v>
      </c>
      <c r="E402">
        <v>24</v>
      </c>
      <c r="F402" s="12">
        <v>45696</v>
      </c>
      <c r="G402" s="12">
        <v>45700</v>
      </c>
      <c r="H402" t="s">
        <v>27</v>
      </c>
      <c r="I402" t="s">
        <v>18</v>
      </c>
      <c r="J402">
        <v>4</v>
      </c>
      <c r="K402" t="s">
        <v>19</v>
      </c>
      <c r="L402" t="s">
        <v>55</v>
      </c>
      <c r="M402">
        <v>4</v>
      </c>
      <c r="N402">
        <v>6</v>
      </c>
      <c r="O402" t="s">
        <v>2530</v>
      </c>
    </row>
    <row r="403" spans="1:15">
      <c r="A403" t="s">
        <v>1061</v>
      </c>
      <c r="B403" t="s">
        <v>146</v>
      </c>
      <c r="C403">
        <v>2</v>
      </c>
      <c r="D403">
        <v>30.8</v>
      </c>
      <c r="E403">
        <v>61.6</v>
      </c>
      <c r="F403" s="12">
        <v>45696</v>
      </c>
      <c r="G403" s="12">
        <v>45697</v>
      </c>
      <c r="H403" t="s">
        <v>27</v>
      </c>
      <c r="I403" t="s">
        <v>18</v>
      </c>
      <c r="J403">
        <v>4</v>
      </c>
      <c r="K403" t="s">
        <v>19</v>
      </c>
      <c r="L403" t="s">
        <v>55</v>
      </c>
      <c r="M403">
        <v>1</v>
      </c>
      <c r="N403">
        <v>6</v>
      </c>
      <c r="O403" t="s">
        <v>2530</v>
      </c>
    </row>
    <row r="404" spans="1:15">
      <c r="A404" t="s">
        <v>490</v>
      </c>
      <c r="B404" t="s">
        <v>16</v>
      </c>
      <c r="C404">
        <v>2</v>
      </c>
      <c r="D404">
        <v>12.7</v>
      </c>
      <c r="E404">
        <v>25.4</v>
      </c>
      <c r="F404" s="12">
        <v>45675</v>
      </c>
      <c r="G404" s="12">
        <v>45677</v>
      </c>
      <c r="H404" t="s">
        <v>27</v>
      </c>
      <c r="I404" t="s">
        <v>35</v>
      </c>
      <c r="J404">
        <v>5</v>
      </c>
      <c r="K404" t="s">
        <v>19</v>
      </c>
      <c r="L404" t="s">
        <v>33</v>
      </c>
      <c r="M404">
        <v>2</v>
      </c>
      <c r="N404">
        <v>3</v>
      </c>
      <c r="O404" t="s">
        <v>2530</v>
      </c>
    </row>
    <row r="405" spans="1:15">
      <c r="A405" t="s">
        <v>1060</v>
      </c>
      <c r="B405" t="s">
        <v>135</v>
      </c>
      <c r="C405">
        <v>2</v>
      </c>
      <c r="D405">
        <v>58.8</v>
      </c>
      <c r="E405">
        <v>117.6</v>
      </c>
      <c r="F405" s="12">
        <v>45696</v>
      </c>
      <c r="G405" s="12">
        <v>45699</v>
      </c>
      <c r="H405" t="s">
        <v>27</v>
      </c>
      <c r="I405" t="s">
        <v>18</v>
      </c>
      <c r="J405">
        <v>4</v>
      </c>
      <c r="K405" t="s">
        <v>19</v>
      </c>
      <c r="L405" t="s">
        <v>188</v>
      </c>
      <c r="M405">
        <v>3</v>
      </c>
      <c r="N405">
        <v>6</v>
      </c>
      <c r="O405" t="s">
        <v>2530</v>
      </c>
    </row>
    <row r="406" spans="1:15">
      <c r="A406" t="s">
        <v>492</v>
      </c>
      <c r="B406" t="s">
        <v>54</v>
      </c>
      <c r="C406">
        <v>2</v>
      </c>
      <c r="D406">
        <v>61.3</v>
      </c>
      <c r="E406">
        <v>122.6</v>
      </c>
      <c r="F406" s="12">
        <v>45675</v>
      </c>
      <c r="G406" s="12">
        <v>45676</v>
      </c>
      <c r="H406" t="s">
        <v>27</v>
      </c>
      <c r="I406" t="s">
        <v>35</v>
      </c>
      <c r="J406">
        <v>4</v>
      </c>
      <c r="K406" t="s">
        <v>19</v>
      </c>
      <c r="L406" t="s">
        <v>55</v>
      </c>
      <c r="M406">
        <v>1</v>
      </c>
      <c r="N406">
        <v>3</v>
      </c>
      <c r="O406" t="s">
        <v>2530</v>
      </c>
    </row>
    <row r="407" spans="1:15">
      <c r="A407" t="s">
        <v>493</v>
      </c>
      <c r="B407" t="s">
        <v>44</v>
      </c>
      <c r="C407">
        <v>2</v>
      </c>
      <c r="D407">
        <v>64.7</v>
      </c>
      <c r="E407">
        <v>129.4</v>
      </c>
      <c r="F407" s="12">
        <v>45675</v>
      </c>
      <c r="G407" s="12">
        <v>45677</v>
      </c>
      <c r="H407" t="s">
        <v>27</v>
      </c>
      <c r="I407" t="s">
        <v>51</v>
      </c>
      <c r="J407">
        <v>5</v>
      </c>
      <c r="K407" t="s">
        <v>19</v>
      </c>
      <c r="L407" t="s">
        <v>55</v>
      </c>
      <c r="M407">
        <v>2</v>
      </c>
      <c r="N407">
        <v>3</v>
      </c>
      <c r="O407" t="s">
        <v>2530</v>
      </c>
    </row>
    <row r="408" spans="1:15">
      <c r="A408" t="s">
        <v>1054</v>
      </c>
      <c r="B408" t="s">
        <v>135</v>
      </c>
      <c r="C408">
        <v>2</v>
      </c>
      <c r="D408">
        <v>51.2</v>
      </c>
      <c r="E408">
        <v>102.4</v>
      </c>
      <c r="F408" s="12">
        <v>45696</v>
      </c>
      <c r="G408" s="12">
        <v>45697</v>
      </c>
      <c r="H408" t="s">
        <v>23</v>
      </c>
      <c r="I408" t="s">
        <v>35</v>
      </c>
      <c r="J408">
        <v>4</v>
      </c>
      <c r="K408" t="s">
        <v>19</v>
      </c>
      <c r="L408" t="s">
        <v>33</v>
      </c>
      <c r="M408">
        <v>1</v>
      </c>
      <c r="N408">
        <v>6</v>
      </c>
      <c r="O408" t="s">
        <v>2531</v>
      </c>
    </row>
    <row r="409" spans="1:15">
      <c r="A409" t="s">
        <v>495</v>
      </c>
      <c r="B409" t="s">
        <v>16</v>
      </c>
      <c r="C409">
        <v>2</v>
      </c>
      <c r="D409">
        <v>33.1</v>
      </c>
      <c r="E409">
        <v>66.2</v>
      </c>
      <c r="F409" s="12">
        <v>45676</v>
      </c>
      <c r="G409" s="12">
        <v>45677</v>
      </c>
      <c r="H409" t="s">
        <v>23</v>
      </c>
      <c r="I409" t="s">
        <v>18</v>
      </c>
      <c r="J409">
        <v>5</v>
      </c>
      <c r="K409" t="s">
        <v>19</v>
      </c>
      <c r="L409" t="s">
        <v>62</v>
      </c>
      <c r="M409">
        <v>1</v>
      </c>
      <c r="N409">
        <v>4</v>
      </c>
      <c r="O409" t="s">
        <v>2531</v>
      </c>
    </row>
    <row r="410" spans="1:15">
      <c r="A410" t="s">
        <v>496</v>
      </c>
      <c r="B410" t="s">
        <v>30</v>
      </c>
      <c r="C410">
        <v>2</v>
      </c>
      <c r="D410">
        <v>105.6</v>
      </c>
      <c r="E410">
        <v>211.2</v>
      </c>
      <c r="F410" s="12">
        <v>45676</v>
      </c>
      <c r="G410" s="12">
        <v>45677</v>
      </c>
      <c r="H410" t="s">
        <v>23</v>
      </c>
      <c r="I410" t="s">
        <v>40</v>
      </c>
      <c r="J410">
        <v>3</v>
      </c>
      <c r="K410" t="s">
        <v>19</v>
      </c>
      <c r="L410" t="s">
        <v>62</v>
      </c>
      <c r="M410">
        <v>1</v>
      </c>
      <c r="N410">
        <v>4</v>
      </c>
      <c r="O410" t="s">
        <v>2531</v>
      </c>
    </row>
    <row r="411" spans="1:15">
      <c r="A411" t="s">
        <v>1048</v>
      </c>
      <c r="B411" t="s">
        <v>44</v>
      </c>
      <c r="C411">
        <v>2</v>
      </c>
      <c r="D411">
        <v>40.9</v>
      </c>
      <c r="E411">
        <v>81.8</v>
      </c>
      <c r="F411" s="12">
        <v>45695</v>
      </c>
      <c r="G411" s="12">
        <v>45699</v>
      </c>
      <c r="H411" t="s">
        <v>23</v>
      </c>
      <c r="I411" t="s">
        <v>18</v>
      </c>
      <c r="J411">
        <v>4</v>
      </c>
      <c r="K411" t="s">
        <v>19</v>
      </c>
      <c r="L411" t="s">
        <v>33</v>
      </c>
      <c r="M411">
        <v>4</v>
      </c>
      <c r="N411">
        <v>6</v>
      </c>
      <c r="O411" t="s">
        <v>2531</v>
      </c>
    </row>
    <row r="412" spans="1:15">
      <c r="A412" t="s">
        <v>1044</v>
      </c>
      <c r="B412" t="s">
        <v>44</v>
      </c>
      <c r="C412">
        <v>2</v>
      </c>
      <c r="D412">
        <v>33.799999999999997</v>
      </c>
      <c r="E412">
        <v>67.599999999999994</v>
      </c>
      <c r="F412" s="12">
        <v>45695</v>
      </c>
      <c r="G412" s="12">
        <v>45701</v>
      </c>
      <c r="H412" t="s">
        <v>27</v>
      </c>
      <c r="I412" t="s">
        <v>51</v>
      </c>
      <c r="J412">
        <v>4</v>
      </c>
      <c r="K412" t="s">
        <v>19</v>
      </c>
      <c r="L412" t="s">
        <v>113</v>
      </c>
      <c r="M412">
        <v>6</v>
      </c>
      <c r="N412">
        <v>6</v>
      </c>
      <c r="O412" t="s">
        <v>2530</v>
      </c>
    </row>
    <row r="413" spans="1:15">
      <c r="A413" t="s">
        <v>499</v>
      </c>
      <c r="B413" t="s">
        <v>16</v>
      </c>
      <c r="C413">
        <v>2</v>
      </c>
      <c r="D413">
        <v>16.100000000000001</v>
      </c>
      <c r="E413">
        <v>32.200000000000003</v>
      </c>
      <c r="F413" s="12">
        <v>45676</v>
      </c>
      <c r="G413" s="12">
        <v>45678</v>
      </c>
      <c r="H413" t="s">
        <v>23</v>
      </c>
      <c r="I413" t="s">
        <v>51</v>
      </c>
      <c r="J413">
        <v>5</v>
      </c>
      <c r="K413" t="s">
        <v>19</v>
      </c>
      <c r="L413" t="s">
        <v>309</v>
      </c>
      <c r="M413">
        <v>2</v>
      </c>
      <c r="N413">
        <v>4</v>
      </c>
      <c r="O413" t="s">
        <v>2531</v>
      </c>
    </row>
    <row r="414" spans="1:15">
      <c r="A414" t="s">
        <v>500</v>
      </c>
      <c r="B414" t="s">
        <v>32</v>
      </c>
      <c r="C414">
        <v>2</v>
      </c>
      <c r="D414">
        <v>27.9</v>
      </c>
      <c r="E414">
        <v>55.8</v>
      </c>
      <c r="F414" s="12">
        <v>45676</v>
      </c>
      <c r="G414" s="12">
        <v>45679</v>
      </c>
      <c r="H414" t="s">
        <v>23</v>
      </c>
      <c r="I414" t="s">
        <v>18</v>
      </c>
      <c r="J414">
        <v>4</v>
      </c>
      <c r="K414" t="s">
        <v>19</v>
      </c>
      <c r="L414" t="s">
        <v>82</v>
      </c>
      <c r="M414">
        <v>3</v>
      </c>
      <c r="N414">
        <v>4</v>
      </c>
      <c r="O414" t="s">
        <v>2531</v>
      </c>
    </row>
    <row r="415" spans="1:15">
      <c r="A415" t="s">
        <v>1038</v>
      </c>
      <c r="B415" t="s">
        <v>123</v>
      </c>
      <c r="C415">
        <v>2</v>
      </c>
      <c r="D415">
        <v>44.9</v>
      </c>
      <c r="E415">
        <v>89.8</v>
      </c>
      <c r="F415" s="12">
        <v>45695</v>
      </c>
      <c r="G415" s="12">
        <v>45697</v>
      </c>
      <c r="H415" t="s">
        <v>23</v>
      </c>
      <c r="I415" t="s">
        <v>18</v>
      </c>
      <c r="J415">
        <v>3</v>
      </c>
      <c r="K415" t="s">
        <v>19</v>
      </c>
      <c r="L415" t="s">
        <v>62</v>
      </c>
      <c r="M415">
        <v>2</v>
      </c>
      <c r="N415">
        <v>6</v>
      </c>
      <c r="O415" t="s">
        <v>2531</v>
      </c>
    </row>
    <row r="416" spans="1:15">
      <c r="A416" t="s">
        <v>502</v>
      </c>
      <c r="B416" t="s">
        <v>39</v>
      </c>
      <c r="C416">
        <v>2</v>
      </c>
      <c r="D416">
        <v>85</v>
      </c>
      <c r="E416">
        <v>170</v>
      </c>
      <c r="F416" s="12">
        <v>45676</v>
      </c>
      <c r="G416" s="12">
        <v>45679</v>
      </c>
      <c r="H416" t="s">
        <v>17</v>
      </c>
      <c r="I416" t="s">
        <v>40</v>
      </c>
      <c r="J416">
        <v>5</v>
      </c>
      <c r="K416" t="s">
        <v>19</v>
      </c>
      <c r="L416" t="s">
        <v>147</v>
      </c>
      <c r="M416">
        <v>3</v>
      </c>
      <c r="N416">
        <v>4</v>
      </c>
      <c r="O416" t="s">
        <v>2533</v>
      </c>
    </row>
    <row r="417" spans="1:15">
      <c r="A417" t="s">
        <v>503</v>
      </c>
      <c r="B417" t="s">
        <v>146</v>
      </c>
      <c r="C417">
        <v>2</v>
      </c>
      <c r="D417">
        <v>89</v>
      </c>
      <c r="E417">
        <v>178</v>
      </c>
      <c r="F417" s="12">
        <v>45676</v>
      </c>
      <c r="G417" s="12">
        <v>45678</v>
      </c>
      <c r="H417" t="s">
        <v>27</v>
      </c>
      <c r="I417" t="s">
        <v>18</v>
      </c>
      <c r="J417">
        <v>4</v>
      </c>
      <c r="K417" t="s">
        <v>19</v>
      </c>
      <c r="L417" t="s">
        <v>33</v>
      </c>
      <c r="M417">
        <v>2</v>
      </c>
      <c r="N417">
        <v>4</v>
      </c>
      <c r="O417" t="s">
        <v>2530</v>
      </c>
    </row>
    <row r="418" spans="1:15">
      <c r="A418" t="s">
        <v>1033</v>
      </c>
      <c r="B418" t="s">
        <v>16</v>
      </c>
      <c r="C418">
        <v>2</v>
      </c>
      <c r="D418">
        <v>25.2</v>
      </c>
      <c r="E418">
        <v>50.4</v>
      </c>
      <c r="F418" s="12">
        <v>45695</v>
      </c>
      <c r="G418" s="12">
        <v>45699</v>
      </c>
      <c r="H418" t="s">
        <v>27</v>
      </c>
      <c r="I418" t="s">
        <v>18</v>
      </c>
      <c r="J418">
        <v>4</v>
      </c>
      <c r="K418" t="s">
        <v>19</v>
      </c>
      <c r="L418" t="s">
        <v>59</v>
      </c>
      <c r="M418">
        <v>4</v>
      </c>
      <c r="N418">
        <v>6</v>
      </c>
      <c r="O418" t="s">
        <v>2530</v>
      </c>
    </row>
    <row r="419" spans="1:15">
      <c r="A419" t="s">
        <v>1023</v>
      </c>
      <c r="B419" t="s">
        <v>44</v>
      </c>
      <c r="C419">
        <v>2</v>
      </c>
      <c r="D419">
        <v>18.600000000000001</v>
      </c>
      <c r="E419">
        <v>37.200000000000003</v>
      </c>
      <c r="F419" s="12">
        <v>45694</v>
      </c>
      <c r="G419" s="12">
        <v>45696</v>
      </c>
      <c r="H419" t="s">
        <v>17</v>
      </c>
      <c r="I419" t="s">
        <v>18</v>
      </c>
      <c r="J419">
        <v>3</v>
      </c>
      <c r="K419" t="s">
        <v>19</v>
      </c>
      <c r="L419" t="s">
        <v>33</v>
      </c>
      <c r="M419">
        <v>2</v>
      </c>
      <c r="N419">
        <v>6</v>
      </c>
      <c r="O419" t="s">
        <v>2533</v>
      </c>
    </row>
    <row r="420" spans="1:15">
      <c r="A420" t="s">
        <v>1022</v>
      </c>
      <c r="B420" t="s">
        <v>16</v>
      </c>
      <c r="C420">
        <v>2</v>
      </c>
      <c r="D420">
        <v>20.399999999999999</v>
      </c>
      <c r="E420">
        <v>40.799999999999997</v>
      </c>
      <c r="F420" s="12">
        <v>45694</v>
      </c>
      <c r="G420" s="12">
        <v>45698</v>
      </c>
      <c r="H420" t="s">
        <v>23</v>
      </c>
      <c r="I420" t="s">
        <v>51</v>
      </c>
      <c r="J420">
        <v>5</v>
      </c>
      <c r="K420" t="s">
        <v>19</v>
      </c>
      <c r="L420" t="s">
        <v>33</v>
      </c>
      <c r="M420">
        <v>4</v>
      </c>
      <c r="N420">
        <v>6</v>
      </c>
      <c r="O420" t="s">
        <v>2531</v>
      </c>
    </row>
    <row r="421" spans="1:15">
      <c r="A421" t="s">
        <v>507</v>
      </c>
      <c r="B421" t="s">
        <v>22</v>
      </c>
      <c r="C421">
        <v>2</v>
      </c>
      <c r="D421">
        <v>107.7</v>
      </c>
      <c r="E421">
        <v>215.4</v>
      </c>
      <c r="F421" s="12">
        <v>45676</v>
      </c>
      <c r="G421" s="12">
        <v>45680</v>
      </c>
      <c r="H421" t="s">
        <v>23</v>
      </c>
      <c r="I421" t="s">
        <v>51</v>
      </c>
      <c r="J421">
        <v>2</v>
      </c>
      <c r="K421" t="s">
        <v>19</v>
      </c>
      <c r="L421" t="s">
        <v>33</v>
      </c>
      <c r="M421">
        <v>4</v>
      </c>
      <c r="N421">
        <v>4</v>
      </c>
      <c r="O421" t="s">
        <v>2531</v>
      </c>
    </row>
    <row r="422" spans="1:15">
      <c r="A422" t="s">
        <v>1018</v>
      </c>
      <c r="B422" t="s">
        <v>46</v>
      </c>
      <c r="C422">
        <v>2</v>
      </c>
      <c r="D422">
        <v>53.8</v>
      </c>
      <c r="E422">
        <v>107.6</v>
      </c>
      <c r="F422" s="12">
        <v>45694</v>
      </c>
      <c r="G422" s="12">
        <v>45695</v>
      </c>
      <c r="H422" t="s">
        <v>17</v>
      </c>
      <c r="I422" t="s">
        <v>18</v>
      </c>
      <c r="J422">
        <v>3</v>
      </c>
      <c r="K422" t="s">
        <v>19</v>
      </c>
      <c r="L422" t="s">
        <v>33</v>
      </c>
      <c r="M422">
        <v>1</v>
      </c>
      <c r="N422">
        <v>6</v>
      </c>
      <c r="O422" t="s">
        <v>2533</v>
      </c>
    </row>
    <row r="423" spans="1:15">
      <c r="A423" t="s">
        <v>1010</v>
      </c>
      <c r="B423" t="s">
        <v>39</v>
      </c>
      <c r="C423">
        <v>2</v>
      </c>
      <c r="D423">
        <v>53.2</v>
      </c>
      <c r="E423">
        <v>106.4</v>
      </c>
      <c r="F423" s="12">
        <v>45694</v>
      </c>
      <c r="G423" s="12">
        <v>45696</v>
      </c>
      <c r="H423" t="s">
        <v>23</v>
      </c>
      <c r="I423" t="s">
        <v>18</v>
      </c>
      <c r="J423">
        <v>4</v>
      </c>
      <c r="K423" t="s">
        <v>19</v>
      </c>
      <c r="L423" t="s">
        <v>103</v>
      </c>
      <c r="M423">
        <v>2</v>
      </c>
      <c r="N423">
        <v>6</v>
      </c>
      <c r="O423" t="s">
        <v>2531</v>
      </c>
    </row>
    <row r="424" spans="1:15">
      <c r="A424" t="s">
        <v>1009</v>
      </c>
      <c r="B424" t="s">
        <v>26</v>
      </c>
      <c r="C424">
        <v>2</v>
      </c>
      <c r="D424">
        <v>133.80000000000001</v>
      </c>
      <c r="E424">
        <v>267.60000000000002</v>
      </c>
      <c r="F424" s="12">
        <v>45694</v>
      </c>
      <c r="G424" s="12">
        <v>45696</v>
      </c>
      <c r="H424" t="s">
        <v>23</v>
      </c>
      <c r="I424" t="s">
        <v>18</v>
      </c>
      <c r="J424">
        <v>3</v>
      </c>
      <c r="K424" t="s">
        <v>19</v>
      </c>
      <c r="L424" t="s">
        <v>59</v>
      </c>
      <c r="M424">
        <v>2</v>
      </c>
      <c r="N424">
        <v>6</v>
      </c>
      <c r="O424" t="s">
        <v>2531</v>
      </c>
    </row>
    <row r="425" spans="1:15">
      <c r="A425" t="s">
        <v>1003</v>
      </c>
      <c r="B425" t="s">
        <v>46</v>
      </c>
      <c r="C425">
        <v>2</v>
      </c>
      <c r="D425">
        <v>44.2</v>
      </c>
      <c r="E425">
        <v>88.4</v>
      </c>
      <c r="F425" s="12">
        <v>45694</v>
      </c>
      <c r="G425" s="12">
        <v>45698</v>
      </c>
      <c r="H425" t="s">
        <v>17</v>
      </c>
      <c r="I425" t="s">
        <v>40</v>
      </c>
      <c r="J425">
        <v>2</v>
      </c>
      <c r="K425" t="s">
        <v>19</v>
      </c>
      <c r="L425" t="s">
        <v>33</v>
      </c>
      <c r="M425">
        <v>4</v>
      </c>
      <c r="N425">
        <v>6</v>
      </c>
      <c r="O425" t="s">
        <v>2533</v>
      </c>
    </row>
    <row r="426" spans="1:15">
      <c r="A426" t="s">
        <v>998</v>
      </c>
      <c r="B426" t="s">
        <v>16</v>
      </c>
      <c r="C426">
        <v>2</v>
      </c>
      <c r="D426">
        <v>20.5</v>
      </c>
      <c r="E426">
        <v>41</v>
      </c>
      <c r="F426" s="12">
        <v>45694</v>
      </c>
      <c r="G426" s="12">
        <v>45696</v>
      </c>
      <c r="H426" t="s">
        <v>27</v>
      </c>
      <c r="I426" t="s">
        <v>40</v>
      </c>
      <c r="J426">
        <v>2</v>
      </c>
      <c r="K426" t="s">
        <v>19</v>
      </c>
      <c r="L426" t="s">
        <v>82</v>
      </c>
      <c r="M426">
        <v>2</v>
      </c>
      <c r="N426">
        <v>6</v>
      </c>
      <c r="O426" t="s">
        <v>2530</v>
      </c>
    </row>
    <row r="427" spans="1:15">
      <c r="A427" t="s">
        <v>995</v>
      </c>
      <c r="B427" t="s">
        <v>69</v>
      </c>
      <c r="C427">
        <v>2</v>
      </c>
      <c r="D427">
        <v>43.2</v>
      </c>
      <c r="E427">
        <v>86.4</v>
      </c>
      <c r="F427" s="12">
        <v>45694</v>
      </c>
      <c r="G427" s="12">
        <v>45695</v>
      </c>
      <c r="H427" t="s">
        <v>27</v>
      </c>
      <c r="I427" t="s">
        <v>40</v>
      </c>
      <c r="J427">
        <v>4</v>
      </c>
      <c r="K427" t="s">
        <v>19</v>
      </c>
      <c r="L427" t="s">
        <v>292</v>
      </c>
      <c r="M427">
        <v>1</v>
      </c>
      <c r="N427">
        <v>6</v>
      </c>
      <c r="O427" t="s">
        <v>2530</v>
      </c>
    </row>
    <row r="428" spans="1:15">
      <c r="A428" t="s">
        <v>994</v>
      </c>
      <c r="B428" t="s">
        <v>46</v>
      </c>
      <c r="C428">
        <v>2</v>
      </c>
      <c r="D428">
        <v>70.7</v>
      </c>
      <c r="E428">
        <v>141.4</v>
      </c>
      <c r="F428" s="12">
        <v>45694</v>
      </c>
      <c r="G428" s="12">
        <v>45696</v>
      </c>
      <c r="H428" t="s">
        <v>27</v>
      </c>
      <c r="I428" t="s">
        <v>40</v>
      </c>
      <c r="J428">
        <v>4</v>
      </c>
      <c r="K428" t="s">
        <v>19</v>
      </c>
      <c r="L428" t="s">
        <v>110</v>
      </c>
      <c r="M428">
        <v>2</v>
      </c>
      <c r="N428">
        <v>6</v>
      </c>
      <c r="O428" t="s">
        <v>2530</v>
      </c>
    </row>
    <row r="429" spans="1:15">
      <c r="A429" t="s">
        <v>985</v>
      </c>
      <c r="B429" t="s">
        <v>16</v>
      </c>
      <c r="C429">
        <v>2</v>
      </c>
      <c r="D429">
        <v>11.6</v>
      </c>
      <c r="E429">
        <v>23.2</v>
      </c>
      <c r="F429" s="12">
        <v>45694</v>
      </c>
      <c r="G429" s="12">
        <v>45698</v>
      </c>
      <c r="H429" t="s">
        <v>27</v>
      </c>
      <c r="I429" t="s">
        <v>35</v>
      </c>
      <c r="J429">
        <v>3</v>
      </c>
      <c r="K429" t="s">
        <v>19</v>
      </c>
      <c r="L429" t="s">
        <v>55</v>
      </c>
      <c r="M429">
        <v>4</v>
      </c>
      <c r="N429">
        <v>6</v>
      </c>
      <c r="O429" t="s">
        <v>2530</v>
      </c>
    </row>
    <row r="430" spans="1:15">
      <c r="A430" t="s">
        <v>982</v>
      </c>
      <c r="B430" t="s">
        <v>128</v>
      </c>
      <c r="C430">
        <v>2</v>
      </c>
      <c r="D430">
        <v>64.599999999999994</v>
      </c>
      <c r="E430">
        <v>129.19999999999999</v>
      </c>
      <c r="F430" s="12">
        <v>45694</v>
      </c>
      <c r="G430" s="12">
        <v>45701</v>
      </c>
      <c r="H430" t="s">
        <v>23</v>
      </c>
      <c r="I430" t="s">
        <v>40</v>
      </c>
      <c r="J430">
        <v>3</v>
      </c>
      <c r="K430" t="s">
        <v>19</v>
      </c>
      <c r="L430" t="s">
        <v>188</v>
      </c>
      <c r="M430">
        <v>7</v>
      </c>
      <c r="N430">
        <v>6</v>
      </c>
      <c r="O430" t="s">
        <v>2531</v>
      </c>
    </row>
    <row r="431" spans="1:15">
      <c r="A431" t="s">
        <v>517</v>
      </c>
      <c r="B431" t="s">
        <v>16</v>
      </c>
      <c r="C431">
        <v>2</v>
      </c>
      <c r="D431">
        <v>15.6</v>
      </c>
      <c r="E431">
        <v>31.2</v>
      </c>
      <c r="F431" s="12">
        <v>45676</v>
      </c>
      <c r="G431" s="12">
        <v>45677</v>
      </c>
      <c r="H431" t="s">
        <v>27</v>
      </c>
      <c r="I431" t="s">
        <v>40</v>
      </c>
      <c r="J431">
        <v>5</v>
      </c>
      <c r="K431" t="s">
        <v>19</v>
      </c>
      <c r="L431" t="s">
        <v>33</v>
      </c>
      <c r="M431">
        <v>1</v>
      </c>
      <c r="N431">
        <v>4</v>
      </c>
      <c r="O431" t="s">
        <v>2530</v>
      </c>
    </row>
    <row r="432" spans="1:15">
      <c r="A432" t="s">
        <v>981</v>
      </c>
      <c r="B432" t="s">
        <v>67</v>
      </c>
      <c r="C432">
        <v>2</v>
      </c>
      <c r="D432">
        <v>38.9</v>
      </c>
      <c r="E432">
        <v>77.8</v>
      </c>
      <c r="F432" s="12">
        <v>45694</v>
      </c>
      <c r="G432" s="12">
        <v>45696</v>
      </c>
      <c r="H432" t="s">
        <v>27</v>
      </c>
      <c r="I432" t="s">
        <v>35</v>
      </c>
      <c r="J432">
        <v>5</v>
      </c>
      <c r="K432" t="s">
        <v>19</v>
      </c>
      <c r="L432" t="s">
        <v>188</v>
      </c>
      <c r="M432">
        <v>2</v>
      </c>
      <c r="N432">
        <v>6</v>
      </c>
      <c r="O432" t="s">
        <v>2530</v>
      </c>
    </row>
    <row r="433" spans="1:15">
      <c r="A433" t="s">
        <v>519</v>
      </c>
      <c r="B433" t="s">
        <v>69</v>
      </c>
      <c r="C433">
        <v>2</v>
      </c>
      <c r="D433">
        <v>30.3</v>
      </c>
      <c r="E433">
        <v>60.6</v>
      </c>
      <c r="F433" s="12">
        <v>45676</v>
      </c>
      <c r="G433" s="12">
        <v>45681</v>
      </c>
      <c r="H433" t="s">
        <v>27</v>
      </c>
      <c r="I433" t="s">
        <v>18</v>
      </c>
      <c r="J433">
        <v>5</v>
      </c>
      <c r="K433" t="s">
        <v>19</v>
      </c>
      <c r="L433" t="s">
        <v>364</v>
      </c>
      <c r="M433">
        <v>5</v>
      </c>
      <c r="N433">
        <v>4</v>
      </c>
      <c r="O433" t="s">
        <v>2530</v>
      </c>
    </row>
    <row r="434" spans="1:15">
      <c r="A434" t="s">
        <v>977</v>
      </c>
      <c r="B434" t="s">
        <v>26</v>
      </c>
      <c r="C434">
        <v>2</v>
      </c>
      <c r="D434">
        <v>83.7</v>
      </c>
      <c r="E434">
        <v>167.4</v>
      </c>
      <c r="F434" s="12">
        <v>45694</v>
      </c>
      <c r="G434" s="12">
        <v>45696</v>
      </c>
      <c r="H434" t="s">
        <v>27</v>
      </c>
      <c r="I434" t="s">
        <v>51</v>
      </c>
      <c r="J434">
        <v>5</v>
      </c>
      <c r="K434" t="s">
        <v>19</v>
      </c>
      <c r="L434" t="s">
        <v>33</v>
      </c>
      <c r="M434">
        <v>2</v>
      </c>
      <c r="N434">
        <v>6</v>
      </c>
      <c r="O434" t="s">
        <v>2530</v>
      </c>
    </row>
    <row r="435" spans="1:15">
      <c r="A435" t="s">
        <v>973</v>
      </c>
      <c r="B435" t="s">
        <v>42</v>
      </c>
      <c r="C435">
        <v>2</v>
      </c>
      <c r="D435">
        <v>64.7</v>
      </c>
      <c r="E435">
        <v>129.4</v>
      </c>
      <c r="F435" s="12">
        <v>45694</v>
      </c>
      <c r="G435" s="12">
        <v>45696</v>
      </c>
      <c r="H435" t="s">
        <v>23</v>
      </c>
      <c r="I435" t="s">
        <v>35</v>
      </c>
      <c r="J435">
        <v>5</v>
      </c>
      <c r="K435" t="s">
        <v>19</v>
      </c>
      <c r="L435" t="s">
        <v>33</v>
      </c>
      <c r="M435">
        <v>2</v>
      </c>
      <c r="N435">
        <v>6</v>
      </c>
      <c r="O435" t="s">
        <v>2531</v>
      </c>
    </row>
    <row r="436" spans="1:15">
      <c r="A436" t="s">
        <v>522</v>
      </c>
      <c r="B436" t="s">
        <v>46</v>
      </c>
      <c r="C436">
        <v>2</v>
      </c>
      <c r="D436">
        <v>45.7</v>
      </c>
      <c r="E436">
        <v>91.4</v>
      </c>
      <c r="F436" s="12">
        <v>45676</v>
      </c>
      <c r="G436" s="12">
        <v>45677</v>
      </c>
      <c r="H436" t="s">
        <v>27</v>
      </c>
      <c r="I436" t="s">
        <v>35</v>
      </c>
      <c r="J436">
        <v>5</v>
      </c>
      <c r="K436" t="s">
        <v>19</v>
      </c>
      <c r="L436" t="s">
        <v>55</v>
      </c>
      <c r="M436">
        <v>1</v>
      </c>
      <c r="N436">
        <v>4</v>
      </c>
      <c r="O436" t="s">
        <v>2530</v>
      </c>
    </row>
    <row r="437" spans="1:15">
      <c r="A437" t="s">
        <v>971</v>
      </c>
      <c r="B437" t="s">
        <v>26</v>
      </c>
      <c r="C437">
        <v>2</v>
      </c>
      <c r="D437">
        <v>83.6</v>
      </c>
      <c r="E437">
        <v>167.2</v>
      </c>
      <c r="F437" s="12">
        <v>45693</v>
      </c>
      <c r="G437" s="12">
        <v>45699</v>
      </c>
      <c r="H437" t="s">
        <v>27</v>
      </c>
      <c r="I437" t="s">
        <v>35</v>
      </c>
      <c r="J437">
        <v>4</v>
      </c>
      <c r="K437" t="s">
        <v>19</v>
      </c>
      <c r="L437" t="s">
        <v>33</v>
      </c>
      <c r="M437">
        <v>6</v>
      </c>
      <c r="N437">
        <v>6</v>
      </c>
      <c r="O437" t="s">
        <v>2530</v>
      </c>
    </row>
    <row r="438" spans="1:15">
      <c r="A438" t="s">
        <v>968</v>
      </c>
      <c r="B438" t="s">
        <v>30</v>
      </c>
      <c r="C438">
        <v>2</v>
      </c>
      <c r="D438">
        <v>42.2</v>
      </c>
      <c r="E438">
        <v>84.4</v>
      </c>
      <c r="F438" s="12">
        <v>45693</v>
      </c>
      <c r="G438" s="12">
        <v>45694</v>
      </c>
      <c r="H438" t="s">
        <v>27</v>
      </c>
      <c r="I438" t="s">
        <v>35</v>
      </c>
      <c r="J438">
        <v>5</v>
      </c>
      <c r="K438" t="s">
        <v>19</v>
      </c>
      <c r="L438" t="s">
        <v>24</v>
      </c>
      <c r="M438">
        <v>1</v>
      </c>
      <c r="N438">
        <v>6</v>
      </c>
      <c r="O438" t="s">
        <v>2530</v>
      </c>
    </row>
    <row r="439" spans="1:15">
      <c r="A439" t="s">
        <v>962</v>
      </c>
      <c r="B439" t="s">
        <v>69</v>
      </c>
      <c r="C439">
        <v>2</v>
      </c>
      <c r="D439">
        <v>116.2</v>
      </c>
      <c r="E439">
        <v>232.4</v>
      </c>
      <c r="F439" s="12">
        <v>45693</v>
      </c>
      <c r="G439" s="12">
        <v>45699</v>
      </c>
      <c r="H439" t="s">
        <v>23</v>
      </c>
      <c r="I439" t="s">
        <v>51</v>
      </c>
      <c r="J439">
        <v>4</v>
      </c>
      <c r="K439" t="s">
        <v>19</v>
      </c>
      <c r="L439" t="s">
        <v>103</v>
      </c>
      <c r="M439">
        <v>6</v>
      </c>
      <c r="N439">
        <v>6</v>
      </c>
      <c r="O439" t="s">
        <v>2531</v>
      </c>
    </row>
    <row r="440" spans="1:15">
      <c r="A440" t="s">
        <v>526</v>
      </c>
      <c r="B440" t="s">
        <v>44</v>
      </c>
      <c r="C440">
        <v>2</v>
      </c>
      <c r="D440">
        <v>47.5</v>
      </c>
      <c r="E440">
        <v>95</v>
      </c>
      <c r="F440" s="12">
        <v>45677</v>
      </c>
      <c r="G440" s="12">
        <v>45679</v>
      </c>
      <c r="H440" t="s">
        <v>27</v>
      </c>
      <c r="I440" t="s">
        <v>35</v>
      </c>
      <c r="J440">
        <v>4</v>
      </c>
      <c r="K440" t="s">
        <v>19</v>
      </c>
      <c r="L440" t="s">
        <v>62</v>
      </c>
      <c r="M440">
        <v>2</v>
      </c>
      <c r="N440">
        <v>4</v>
      </c>
      <c r="O440" t="s">
        <v>2530</v>
      </c>
    </row>
    <row r="441" spans="1:15">
      <c r="A441" t="s">
        <v>958</v>
      </c>
      <c r="B441" t="s">
        <v>44</v>
      </c>
      <c r="C441">
        <v>2</v>
      </c>
      <c r="D441">
        <v>19</v>
      </c>
      <c r="E441">
        <v>38</v>
      </c>
      <c r="F441" s="12">
        <v>45693</v>
      </c>
      <c r="G441" s="12">
        <v>45694</v>
      </c>
      <c r="H441" t="s">
        <v>23</v>
      </c>
      <c r="I441" t="s">
        <v>70</v>
      </c>
      <c r="J441">
        <v>5</v>
      </c>
      <c r="K441" t="s">
        <v>19</v>
      </c>
      <c r="L441" t="s">
        <v>55</v>
      </c>
      <c r="M441">
        <v>1</v>
      </c>
      <c r="N441">
        <v>6</v>
      </c>
      <c r="O441" t="s">
        <v>2531</v>
      </c>
    </row>
    <row r="442" spans="1:15">
      <c r="A442" t="s">
        <v>528</v>
      </c>
      <c r="B442" t="s">
        <v>46</v>
      </c>
      <c r="C442">
        <v>2</v>
      </c>
      <c r="D442">
        <v>50.5</v>
      </c>
      <c r="E442">
        <v>101</v>
      </c>
      <c r="F442" s="12">
        <v>45677</v>
      </c>
      <c r="G442" s="12">
        <v>45679</v>
      </c>
      <c r="H442" t="s">
        <v>23</v>
      </c>
      <c r="I442" t="s">
        <v>18</v>
      </c>
      <c r="J442">
        <v>3</v>
      </c>
      <c r="K442" t="s">
        <v>19</v>
      </c>
      <c r="L442" t="s">
        <v>103</v>
      </c>
      <c r="M442">
        <v>2</v>
      </c>
      <c r="N442">
        <v>4</v>
      </c>
      <c r="O442" t="s">
        <v>2531</v>
      </c>
    </row>
    <row r="443" spans="1:15">
      <c r="A443" t="s">
        <v>947</v>
      </c>
      <c r="B443" t="s">
        <v>44</v>
      </c>
      <c r="C443">
        <v>2</v>
      </c>
      <c r="D443">
        <v>34.1</v>
      </c>
      <c r="E443">
        <v>68.2</v>
      </c>
      <c r="F443" s="12">
        <v>45693</v>
      </c>
      <c r="G443" s="12">
        <v>45694</v>
      </c>
      <c r="H443" t="s">
        <v>23</v>
      </c>
      <c r="I443" t="s">
        <v>51</v>
      </c>
      <c r="J443">
        <v>5</v>
      </c>
      <c r="K443" t="s">
        <v>19</v>
      </c>
      <c r="L443" t="s">
        <v>587</v>
      </c>
      <c r="M443">
        <v>1</v>
      </c>
      <c r="N443">
        <v>6</v>
      </c>
      <c r="O443" t="s">
        <v>2531</v>
      </c>
    </row>
    <row r="444" spans="1:15">
      <c r="A444" t="s">
        <v>944</v>
      </c>
      <c r="B444" t="s">
        <v>26</v>
      </c>
      <c r="C444">
        <v>2</v>
      </c>
      <c r="D444">
        <v>115.1</v>
      </c>
      <c r="E444">
        <v>230.2</v>
      </c>
      <c r="F444" s="12">
        <v>45693</v>
      </c>
      <c r="G444" s="12">
        <v>45694</v>
      </c>
      <c r="H444" t="s">
        <v>27</v>
      </c>
      <c r="I444" t="s">
        <v>35</v>
      </c>
      <c r="J444">
        <v>4</v>
      </c>
      <c r="K444" t="s">
        <v>19</v>
      </c>
      <c r="L444" t="s">
        <v>24</v>
      </c>
      <c r="M444">
        <v>1</v>
      </c>
      <c r="N444">
        <v>6</v>
      </c>
      <c r="O444" t="s">
        <v>2530</v>
      </c>
    </row>
    <row r="445" spans="1:15">
      <c r="A445" t="s">
        <v>943</v>
      </c>
      <c r="B445" t="s">
        <v>39</v>
      </c>
      <c r="C445">
        <v>2</v>
      </c>
      <c r="D445">
        <v>45.3</v>
      </c>
      <c r="E445">
        <v>90.6</v>
      </c>
      <c r="F445" s="12">
        <v>45693</v>
      </c>
      <c r="G445" s="12">
        <v>45697</v>
      </c>
      <c r="H445" t="s">
        <v>23</v>
      </c>
      <c r="I445" t="s">
        <v>70</v>
      </c>
      <c r="J445">
        <v>5</v>
      </c>
      <c r="K445" t="s">
        <v>19</v>
      </c>
      <c r="L445" t="s">
        <v>115</v>
      </c>
      <c r="M445">
        <v>4</v>
      </c>
      <c r="N445">
        <v>6</v>
      </c>
      <c r="O445" t="s">
        <v>2531</v>
      </c>
    </row>
    <row r="446" spans="1:15">
      <c r="A446" t="s">
        <v>942</v>
      </c>
      <c r="B446" t="s">
        <v>32</v>
      </c>
      <c r="C446">
        <v>2</v>
      </c>
      <c r="D446">
        <v>22.6</v>
      </c>
      <c r="E446">
        <v>45.2</v>
      </c>
      <c r="F446" s="12">
        <v>45693</v>
      </c>
      <c r="G446" s="12">
        <v>45695</v>
      </c>
      <c r="H446" t="s">
        <v>27</v>
      </c>
      <c r="I446" t="s">
        <v>35</v>
      </c>
      <c r="J446">
        <v>5</v>
      </c>
      <c r="K446" t="s">
        <v>19</v>
      </c>
      <c r="L446" t="s">
        <v>115</v>
      </c>
      <c r="M446">
        <v>2</v>
      </c>
      <c r="N446">
        <v>6</v>
      </c>
      <c r="O446" t="s">
        <v>2530</v>
      </c>
    </row>
    <row r="447" spans="1:15">
      <c r="A447" t="s">
        <v>533</v>
      </c>
      <c r="B447" t="s">
        <v>26</v>
      </c>
      <c r="C447">
        <v>2</v>
      </c>
      <c r="D447">
        <v>100.3</v>
      </c>
      <c r="E447">
        <v>200.6</v>
      </c>
      <c r="F447" s="12">
        <v>45677</v>
      </c>
      <c r="G447" s="12">
        <v>45678</v>
      </c>
      <c r="H447" t="s">
        <v>27</v>
      </c>
      <c r="I447" t="s">
        <v>18</v>
      </c>
      <c r="J447">
        <v>3</v>
      </c>
      <c r="K447" t="s">
        <v>19</v>
      </c>
      <c r="L447" t="s">
        <v>77</v>
      </c>
      <c r="M447">
        <v>1</v>
      </c>
      <c r="N447">
        <v>4</v>
      </c>
      <c r="O447" t="s">
        <v>2530</v>
      </c>
    </row>
    <row r="448" spans="1:15">
      <c r="A448" t="s">
        <v>934</v>
      </c>
      <c r="B448" t="s">
        <v>44</v>
      </c>
      <c r="C448">
        <v>2</v>
      </c>
      <c r="D448">
        <v>22.1</v>
      </c>
      <c r="E448">
        <v>44.2</v>
      </c>
      <c r="F448" s="12">
        <v>45692</v>
      </c>
      <c r="G448" s="12">
        <v>45693</v>
      </c>
      <c r="H448" t="s">
        <v>27</v>
      </c>
      <c r="I448" t="s">
        <v>18</v>
      </c>
      <c r="J448">
        <v>5</v>
      </c>
      <c r="K448" t="s">
        <v>19</v>
      </c>
      <c r="L448" t="s">
        <v>103</v>
      </c>
      <c r="M448">
        <v>1</v>
      </c>
      <c r="N448">
        <v>6</v>
      </c>
      <c r="O448" t="s">
        <v>2530</v>
      </c>
    </row>
    <row r="449" spans="1:15">
      <c r="A449" t="s">
        <v>535</v>
      </c>
      <c r="B449" t="s">
        <v>39</v>
      </c>
      <c r="C449">
        <v>2</v>
      </c>
      <c r="D449">
        <v>47.3</v>
      </c>
      <c r="E449">
        <v>94.6</v>
      </c>
      <c r="F449" s="12">
        <v>45677</v>
      </c>
      <c r="G449" s="12">
        <v>45678</v>
      </c>
      <c r="H449" t="s">
        <v>23</v>
      </c>
      <c r="I449" t="s">
        <v>35</v>
      </c>
      <c r="J449">
        <v>5</v>
      </c>
      <c r="K449" t="s">
        <v>19</v>
      </c>
      <c r="L449" t="s">
        <v>82</v>
      </c>
      <c r="M449">
        <v>1</v>
      </c>
      <c r="N449">
        <v>4</v>
      </c>
      <c r="O449" t="s">
        <v>2531</v>
      </c>
    </row>
    <row r="450" spans="1:15">
      <c r="A450" t="s">
        <v>918</v>
      </c>
      <c r="B450" t="s">
        <v>42</v>
      </c>
      <c r="C450">
        <v>2</v>
      </c>
      <c r="D450">
        <v>58.6</v>
      </c>
      <c r="E450">
        <v>117.2</v>
      </c>
      <c r="F450" s="12">
        <v>45692</v>
      </c>
      <c r="G450" s="12">
        <v>45693</v>
      </c>
      <c r="H450" t="s">
        <v>27</v>
      </c>
      <c r="I450" t="s">
        <v>40</v>
      </c>
      <c r="J450">
        <v>3</v>
      </c>
      <c r="K450" t="s">
        <v>19</v>
      </c>
      <c r="L450" t="s">
        <v>33</v>
      </c>
      <c r="M450">
        <v>1</v>
      </c>
      <c r="N450">
        <v>6</v>
      </c>
      <c r="O450" t="s">
        <v>2530</v>
      </c>
    </row>
    <row r="451" spans="1:15">
      <c r="A451" t="s">
        <v>917</v>
      </c>
      <c r="B451" t="s">
        <v>39</v>
      </c>
      <c r="C451">
        <v>2</v>
      </c>
      <c r="D451">
        <v>47.2</v>
      </c>
      <c r="E451">
        <v>94.4</v>
      </c>
      <c r="F451" s="12">
        <v>45692</v>
      </c>
      <c r="G451" s="12">
        <v>45694</v>
      </c>
      <c r="H451" t="s">
        <v>27</v>
      </c>
      <c r="I451" t="s">
        <v>18</v>
      </c>
      <c r="J451">
        <v>5</v>
      </c>
      <c r="K451" t="s">
        <v>19</v>
      </c>
      <c r="L451" t="s">
        <v>33</v>
      </c>
      <c r="M451">
        <v>2</v>
      </c>
      <c r="N451">
        <v>6</v>
      </c>
      <c r="O451" t="s">
        <v>2530</v>
      </c>
    </row>
    <row r="452" spans="1:15">
      <c r="A452" t="s">
        <v>915</v>
      </c>
      <c r="B452" t="s">
        <v>146</v>
      </c>
      <c r="C452">
        <v>2</v>
      </c>
      <c r="D452">
        <v>95.7</v>
      </c>
      <c r="E452">
        <v>191.4</v>
      </c>
      <c r="F452" s="12">
        <v>45692</v>
      </c>
      <c r="G452" s="12">
        <v>45698</v>
      </c>
      <c r="H452" t="s">
        <v>27</v>
      </c>
      <c r="I452" t="s">
        <v>51</v>
      </c>
      <c r="J452">
        <v>5</v>
      </c>
      <c r="K452" t="s">
        <v>19</v>
      </c>
      <c r="L452" t="s">
        <v>33</v>
      </c>
      <c r="M452">
        <v>6</v>
      </c>
      <c r="N452">
        <v>6</v>
      </c>
      <c r="O452" t="s">
        <v>2530</v>
      </c>
    </row>
    <row r="453" spans="1:15">
      <c r="A453" t="s">
        <v>539</v>
      </c>
      <c r="B453" t="s">
        <v>146</v>
      </c>
      <c r="C453">
        <v>2</v>
      </c>
      <c r="D453">
        <v>36.799999999999997</v>
      </c>
      <c r="E453">
        <v>73.599999999999994</v>
      </c>
      <c r="F453" s="12">
        <v>45677</v>
      </c>
      <c r="G453" s="12">
        <v>45683</v>
      </c>
      <c r="H453" t="s">
        <v>27</v>
      </c>
      <c r="I453" t="s">
        <v>18</v>
      </c>
      <c r="J453">
        <v>5</v>
      </c>
      <c r="K453" t="s">
        <v>19</v>
      </c>
      <c r="L453" t="s">
        <v>33</v>
      </c>
      <c r="M453">
        <v>6</v>
      </c>
      <c r="N453">
        <v>4</v>
      </c>
      <c r="O453" t="s">
        <v>2530</v>
      </c>
    </row>
    <row r="454" spans="1:15">
      <c r="A454" t="s">
        <v>910</v>
      </c>
      <c r="B454" t="s">
        <v>16</v>
      </c>
      <c r="C454">
        <v>2</v>
      </c>
      <c r="D454">
        <v>20.8</v>
      </c>
      <c r="E454">
        <v>41.6</v>
      </c>
      <c r="F454" s="12">
        <v>45692</v>
      </c>
      <c r="G454" s="12">
        <v>45693</v>
      </c>
      <c r="H454" t="s">
        <v>27</v>
      </c>
      <c r="I454" t="s">
        <v>18</v>
      </c>
      <c r="J454">
        <v>4</v>
      </c>
      <c r="K454" t="s">
        <v>19</v>
      </c>
      <c r="L454" t="s">
        <v>28</v>
      </c>
      <c r="M454">
        <v>1</v>
      </c>
      <c r="N454">
        <v>6</v>
      </c>
      <c r="O454" t="s">
        <v>2530</v>
      </c>
    </row>
    <row r="455" spans="1:15">
      <c r="A455" t="s">
        <v>902</v>
      </c>
      <c r="B455" t="s">
        <v>37</v>
      </c>
      <c r="C455">
        <v>2</v>
      </c>
      <c r="D455">
        <v>28.8</v>
      </c>
      <c r="E455">
        <v>57.6</v>
      </c>
      <c r="F455" s="12">
        <v>45692</v>
      </c>
      <c r="G455" s="12">
        <v>45694</v>
      </c>
      <c r="H455" t="s">
        <v>23</v>
      </c>
      <c r="I455" t="s">
        <v>35</v>
      </c>
      <c r="J455">
        <v>4</v>
      </c>
      <c r="K455" t="s">
        <v>19</v>
      </c>
      <c r="L455" t="s">
        <v>108</v>
      </c>
      <c r="M455">
        <v>2</v>
      </c>
      <c r="N455">
        <v>6</v>
      </c>
      <c r="O455" t="s">
        <v>2531</v>
      </c>
    </row>
    <row r="456" spans="1:15">
      <c r="A456" t="s">
        <v>899</v>
      </c>
      <c r="B456" t="s">
        <v>22</v>
      </c>
      <c r="C456">
        <v>2</v>
      </c>
      <c r="D456">
        <v>42.9</v>
      </c>
      <c r="E456">
        <v>85.8</v>
      </c>
      <c r="F456" s="12">
        <v>45692</v>
      </c>
      <c r="G456" s="12">
        <v>45694</v>
      </c>
      <c r="H456" t="s">
        <v>27</v>
      </c>
      <c r="I456" t="s">
        <v>18</v>
      </c>
      <c r="J456">
        <v>5</v>
      </c>
      <c r="K456" t="s">
        <v>19</v>
      </c>
      <c r="L456" t="s">
        <v>62</v>
      </c>
      <c r="M456">
        <v>2</v>
      </c>
      <c r="N456">
        <v>6</v>
      </c>
      <c r="O456" t="s">
        <v>2530</v>
      </c>
    </row>
    <row r="457" spans="1:15">
      <c r="A457" t="s">
        <v>889</v>
      </c>
      <c r="B457" t="s">
        <v>44</v>
      </c>
      <c r="C457">
        <v>2</v>
      </c>
      <c r="D457">
        <v>22.6</v>
      </c>
      <c r="E457">
        <v>45.2</v>
      </c>
      <c r="F457" s="12">
        <v>45691</v>
      </c>
      <c r="G457" s="12">
        <v>45694</v>
      </c>
      <c r="H457" t="s">
        <v>23</v>
      </c>
      <c r="I457" t="s">
        <v>18</v>
      </c>
      <c r="J457">
        <v>4</v>
      </c>
      <c r="K457" t="s">
        <v>19</v>
      </c>
      <c r="L457" t="s">
        <v>77</v>
      </c>
      <c r="M457">
        <v>3</v>
      </c>
      <c r="N457">
        <v>6</v>
      </c>
      <c r="O457" t="s">
        <v>2531</v>
      </c>
    </row>
    <row r="458" spans="1:15">
      <c r="A458" t="s">
        <v>878</v>
      </c>
      <c r="B458" t="s">
        <v>22</v>
      </c>
      <c r="C458">
        <v>2</v>
      </c>
      <c r="D458">
        <v>43.7</v>
      </c>
      <c r="E458">
        <v>87.4</v>
      </c>
      <c r="F458" s="12">
        <v>45691</v>
      </c>
      <c r="G458" s="12">
        <v>45693</v>
      </c>
      <c r="H458" t="s">
        <v>27</v>
      </c>
      <c r="I458" t="s">
        <v>18</v>
      </c>
      <c r="J458">
        <v>4</v>
      </c>
      <c r="K458" t="s">
        <v>19</v>
      </c>
      <c r="L458" t="s">
        <v>62</v>
      </c>
      <c r="M458">
        <v>2</v>
      </c>
      <c r="N458">
        <v>6</v>
      </c>
      <c r="O458" t="s">
        <v>2530</v>
      </c>
    </row>
    <row r="459" spans="1:15">
      <c r="A459" t="s">
        <v>874</v>
      </c>
      <c r="B459" t="s">
        <v>16</v>
      </c>
      <c r="C459">
        <v>2</v>
      </c>
      <c r="D459">
        <v>33.700000000000003</v>
      </c>
      <c r="E459">
        <v>67.400000000000006</v>
      </c>
      <c r="F459" s="12">
        <v>45690</v>
      </c>
      <c r="G459" s="12">
        <v>45694</v>
      </c>
      <c r="H459" t="s">
        <v>27</v>
      </c>
      <c r="I459" t="s">
        <v>51</v>
      </c>
      <c r="J459">
        <v>4</v>
      </c>
      <c r="K459" t="s">
        <v>19</v>
      </c>
      <c r="L459" t="s">
        <v>55</v>
      </c>
      <c r="M459">
        <v>4</v>
      </c>
      <c r="N459">
        <v>6</v>
      </c>
      <c r="O459" t="s">
        <v>2530</v>
      </c>
    </row>
    <row r="460" spans="1:15">
      <c r="A460" t="s">
        <v>872</v>
      </c>
      <c r="B460" t="s">
        <v>128</v>
      </c>
      <c r="C460">
        <v>2</v>
      </c>
      <c r="D460">
        <v>112</v>
      </c>
      <c r="E460">
        <v>224</v>
      </c>
      <c r="F460" s="12">
        <v>45690</v>
      </c>
      <c r="G460" s="12">
        <v>45691</v>
      </c>
      <c r="H460" t="s">
        <v>27</v>
      </c>
      <c r="I460" t="s">
        <v>35</v>
      </c>
      <c r="J460">
        <v>3</v>
      </c>
      <c r="K460" t="s">
        <v>19</v>
      </c>
      <c r="L460" t="s">
        <v>52</v>
      </c>
      <c r="M460">
        <v>1</v>
      </c>
      <c r="N460">
        <v>6</v>
      </c>
      <c r="O460" t="s">
        <v>2530</v>
      </c>
    </row>
    <row r="461" spans="1:15">
      <c r="A461" t="s">
        <v>548</v>
      </c>
      <c r="B461" t="s">
        <v>54</v>
      </c>
      <c r="C461">
        <v>2</v>
      </c>
      <c r="D461">
        <v>23.2</v>
      </c>
      <c r="E461">
        <v>46.4</v>
      </c>
      <c r="F461" s="12">
        <v>45678</v>
      </c>
      <c r="G461" s="12">
        <v>45679</v>
      </c>
      <c r="H461" t="s">
        <v>23</v>
      </c>
      <c r="I461" t="s">
        <v>40</v>
      </c>
      <c r="J461">
        <v>4</v>
      </c>
      <c r="K461" t="s">
        <v>19</v>
      </c>
      <c r="L461" t="s">
        <v>62</v>
      </c>
      <c r="M461">
        <v>1</v>
      </c>
      <c r="N461">
        <v>4</v>
      </c>
      <c r="O461" t="s">
        <v>2531</v>
      </c>
    </row>
    <row r="462" spans="1:15">
      <c r="A462" t="s">
        <v>868</v>
      </c>
      <c r="B462" t="s">
        <v>39</v>
      </c>
      <c r="C462">
        <v>2</v>
      </c>
      <c r="D462">
        <v>74.8</v>
      </c>
      <c r="E462">
        <v>149.6</v>
      </c>
      <c r="F462" s="12">
        <v>45690</v>
      </c>
      <c r="G462" s="12">
        <v>45691</v>
      </c>
      <c r="H462" t="s">
        <v>27</v>
      </c>
      <c r="I462" t="s">
        <v>51</v>
      </c>
      <c r="J462">
        <v>5</v>
      </c>
      <c r="K462" t="s">
        <v>19</v>
      </c>
      <c r="L462" t="s">
        <v>364</v>
      </c>
      <c r="M462">
        <v>1</v>
      </c>
      <c r="N462">
        <v>6</v>
      </c>
      <c r="O462" t="s">
        <v>2530</v>
      </c>
    </row>
    <row r="463" spans="1:15">
      <c r="A463" t="s">
        <v>863</v>
      </c>
      <c r="B463" t="s">
        <v>32</v>
      </c>
      <c r="C463">
        <v>2</v>
      </c>
      <c r="D463">
        <v>60.1</v>
      </c>
      <c r="E463">
        <v>120.2</v>
      </c>
      <c r="F463" s="12">
        <v>45690</v>
      </c>
      <c r="G463" s="12">
        <v>45691</v>
      </c>
      <c r="H463" t="s">
        <v>27</v>
      </c>
      <c r="I463" t="s">
        <v>18</v>
      </c>
      <c r="J463">
        <v>5</v>
      </c>
      <c r="K463" t="s">
        <v>19</v>
      </c>
      <c r="L463" t="s">
        <v>33</v>
      </c>
      <c r="M463">
        <v>1</v>
      </c>
      <c r="N463">
        <v>6</v>
      </c>
      <c r="O463" t="s">
        <v>2530</v>
      </c>
    </row>
    <row r="464" spans="1:15">
      <c r="A464" t="s">
        <v>551</v>
      </c>
      <c r="B464" t="s">
        <v>22</v>
      </c>
      <c r="C464">
        <v>2</v>
      </c>
      <c r="D464">
        <v>61</v>
      </c>
      <c r="E464">
        <v>122</v>
      </c>
      <c r="F464" s="12">
        <v>45678</v>
      </c>
      <c r="G464" s="12">
        <v>45679</v>
      </c>
      <c r="H464" t="s">
        <v>23</v>
      </c>
      <c r="I464" t="s">
        <v>51</v>
      </c>
      <c r="J464">
        <v>4</v>
      </c>
      <c r="K464" t="s">
        <v>19</v>
      </c>
      <c r="L464" t="s">
        <v>74</v>
      </c>
      <c r="M464">
        <v>1</v>
      </c>
      <c r="N464">
        <v>4</v>
      </c>
      <c r="O464" t="s">
        <v>2531</v>
      </c>
    </row>
    <row r="465" spans="1:15">
      <c r="A465" t="s">
        <v>856</v>
      </c>
      <c r="B465" t="s">
        <v>54</v>
      </c>
      <c r="C465">
        <v>2</v>
      </c>
      <c r="D465">
        <v>41.8</v>
      </c>
      <c r="E465">
        <v>83.6</v>
      </c>
      <c r="F465" s="12">
        <v>45690</v>
      </c>
      <c r="G465" s="12">
        <v>45694</v>
      </c>
      <c r="H465" t="s">
        <v>23</v>
      </c>
      <c r="I465" t="s">
        <v>51</v>
      </c>
      <c r="J465">
        <v>5</v>
      </c>
      <c r="K465" t="s">
        <v>19</v>
      </c>
      <c r="L465" t="s">
        <v>147</v>
      </c>
      <c r="M465">
        <v>4</v>
      </c>
      <c r="N465">
        <v>6</v>
      </c>
      <c r="O465" t="s">
        <v>2531</v>
      </c>
    </row>
    <row r="466" spans="1:15">
      <c r="A466" t="s">
        <v>553</v>
      </c>
      <c r="B466" t="s">
        <v>32</v>
      </c>
      <c r="C466">
        <v>2</v>
      </c>
      <c r="D466">
        <v>22.4</v>
      </c>
      <c r="E466">
        <v>44.8</v>
      </c>
      <c r="F466" s="12">
        <v>45678</v>
      </c>
      <c r="G466" s="12">
        <v>45680</v>
      </c>
      <c r="H466" t="s">
        <v>17</v>
      </c>
      <c r="I466" t="s">
        <v>35</v>
      </c>
      <c r="J466">
        <v>5</v>
      </c>
      <c r="K466" t="s">
        <v>19</v>
      </c>
      <c r="L466" t="s">
        <v>82</v>
      </c>
      <c r="M466">
        <v>2</v>
      </c>
      <c r="N466">
        <v>4</v>
      </c>
      <c r="O466" t="s">
        <v>2533</v>
      </c>
    </row>
    <row r="467" spans="1:15">
      <c r="A467" t="s">
        <v>845</v>
      </c>
      <c r="B467" t="s">
        <v>44</v>
      </c>
      <c r="C467">
        <v>2</v>
      </c>
      <c r="D467">
        <v>40.9</v>
      </c>
      <c r="E467">
        <v>81.8</v>
      </c>
      <c r="F467" s="12">
        <v>45690</v>
      </c>
      <c r="G467" s="12">
        <v>45692</v>
      </c>
      <c r="H467" t="s">
        <v>23</v>
      </c>
      <c r="I467" t="s">
        <v>18</v>
      </c>
      <c r="J467">
        <v>3</v>
      </c>
      <c r="K467" t="s">
        <v>19</v>
      </c>
      <c r="L467" t="s">
        <v>33</v>
      </c>
      <c r="M467">
        <v>2</v>
      </c>
      <c r="N467">
        <v>6</v>
      </c>
      <c r="O467" t="s">
        <v>2531</v>
      </c>
    </row>
    <row r="468" spans="1:15">
      <c r="A468" t="s">
        <v>837</v>
      </c>
      <c r="B468" t="s">
        <v>39</v>
      </c>
      <c r="C468">
        <v>2</v>
      </c>
      <c r="D468">
        <v>105.7</v>
      </c>
      <c r="E468">
        <v>211.4</v>
      </c>
      <c r="F468" s="12">
        <v>45689</v>
      </c>
      <c r="G468" s="12">
        <v>45690</v>
      </c>
      <c r="H468" t="s">
        <v>27</v>
      </c>
      <c r="I468" t="s">
        <v>40</v>
      </c>
      <c r="J468">
        <v>5</v>
      </c>
      <c r="K468" t="s">
        <v>19</v>
      </c>
      <c r="L468" t="s">
        <v>115</v>
      </c>
      <c r="M468">
        <v>1</v>
      </c>
      <c r="N468">
        <v>5</v>
      </c>
      <c r="O468" t="s">
        <v>2530</v>
      </c>
    </row>
    <row r="469" spans="1:15">
      <c r="A469" t="s">
        <v>836</v>
      </c>
      <c r="B469" t="s">
        <v>26</v>
      </c>
      <c r="C469">
        <v>2</v>
      </c>
      <c r="D469">
        <v>117.5</v>
      </c>
      <c r="E469">
        <v>235</v>
      </c>
      <c r="F469" s="12">
        <v>45689</v>
      </c>
      <c r="G469" s="12">
        <v>45690</v>
      </c>
      <c r="H469" t="s">
        <v>23</v>
      </c>
      <c r="I469" t="s">
        <v>18</v>
      </c>
      <c r="J469">
        <v>4</v>
      </c>
      <c r="K469" t="s">
        <v>19</v>
      </c>
      <c r="L469" t="s">
        <v>110</v>
      </c>
      <c r="M469">
        <v>1</v>
      </c>
      <c r="N469">
        <v>5</v>
      </c>
      <c r="O469" t="s">
        <v>2531</v>
      </c>
    </row>
    <row r="470" spans="1:15">
      <c r="A470" t="s">
        <v>831</v>
      </c>
      <c r="B470" t="s">
        <v>54</v>
      </c>
      <c r="C470">
        <v>2</v>
      </c>
      <c r="D470">
        <v>52.4</v>
      </c>
      <c r="E470">
        <v>104.8</v>
      </c>
      <c r="F470" s="12">
        <v>45689</v>
      </c>
      <c r="G470" s="12">
        <v>45689</v>
      </c>
      <c r="H470" t="s">
        <v>27</v>
      </c>
      <c r="I470" t="s">
        <v>18</v>
      </c>
      <c r="J470">
        <v>1</v>
      </c>
      <c r="K470" t="s">
        <v>19</v>
      </c>
      <c r="L470" t="s">
        <v>55</v>
      </c>
      <c r="M470">
        <v>0</v>
      </c>
      <c r="N470">
        <v>5</v>
      </c>
      <c r="O470" t="s">
        <v>2530</v>
      </c>
    </row>
    <row r="471" spans="1:15">
      <c r="A471" t="s">
        <v>830</v>
      </c>
      <c r="B471" t="s">
        <v>44</v>
      </c>
      <c r="C471">
        <v>2</v>
      </c>
      <c r="D471">
        <v>35.700000000000003</v>
      </c>
      <c r="E471">
        <v>71.400000000000006</v>
      </c>
      <c r="F471" s="12">
        <v>45689</v>
      </c>
      <c r="G471" s="12">
        <v>45692</v>
      </c>
      <c r="H471" t="s">
        <v>17</v>
      </c>
      <c r="I471" t="s">
        <v>18</v>
      </c>
      <c r="J471">
        <v>3</v>
      </c>
      <c r="K471" t="s">
        <v>19</v>
      </c>
      <c r="L471" t="s">
        <v>55</v>
      </c>
      <c r="M471">
        <v>3</v>
      </c>
      <c r="N471">
        <v>5</v>
      </c>
      <c r="O471" t="s">
        <v>2533</v>
      </c>
    </row>
    <row r="472" spans="1:15">
      <c r="A472" t="s">
        <v>559</v>
      </c>
      <c r="B472" t="s">
        <v>26</v>
      </c>
      <c r="C472">
        <v>2</v>
      </c>
      <c r="D472">
        <v>85.4</v>
      </c>
      <c r="E472">
        <v>170.8</v>
      </c>
      <c r="F472" s="12">
        <v>45678</v>
      </c>
      <c r="G472" s="12">
        <v>45679</v>
      </c>
      <c r="H472" t="s">
        <v>27</v>
      </c>
      <c r="I472" t="s">
        <v>40</v>
      </c>
      <c r="J472">
        <v>4</v>
      </c>
      <c r="K472" t="s">
        <v>19</v>
      </c>
      <c r="L472" t="s">
        <v>33</v>
      </c>
      <c r="M472">
        <v>1</v>
      </c>
      <c r="N472">
        <v>4</v>
      </c>
      <c r="O472" t="s">
        <v>2530</v>
      </c>
    </row>
    <row r="473" spans="1:15">
      <c r="A473" t="s">
        <v>829</v>
      </c>
      <c r="B473" t="s">
        <v>46</v>
      </c>
      <c r="C473">
        <v>2</v>
      </c>
      <c r="D473">
        <v>54.6</v>
      </c>
      <c r="E473">
        <v>109.2</v>
      </c>
      <c r="F473" s="12">
        <v>45689</v>
      </c>
      <c r="G473" s="12">
        <v>45690</v>
      </c>
      <c r="H473" t="s">
        <v>27</v>
      </c>
      <c r="I473" t="s">
        <v>40</v>
      </c>
      <c r="J473">
        <v>4</v>
      </c>
      <c r="K473" t="s">
        <v>19</v>
      </c>
      <c r="L473" t="s">
        <v>55</v>
      </c>
      <c r="M473">
        <v>1</v>
      </c>
      <c r="N473">
        <v>5</v>
      </c>
      <c r="O473" t="s">
        <v>2530</v>
      </c>
    </row>
    <row r="474" spans="1:15">
      <c r="A474" t="s">
        <v>561</v>
      </c>
      <c r="B474" t="s">
        <v>37</v>
      </c>
      <c r="C474">
        <v>2</v>
      </c>
      <c r="D474">
        <v>38.5</v>
      </c>
      <c r="E474">
        <v>77</v>
      </c>
      <c r="F474" s="12">
        <v>45678</v>
      </c>
      <c r="G474" s="12">
        <v>45681</v>
      </c>
      <c r="H474" t="s">
        <v>23</v>
      </c>
      <c r="I474" t="s">
        <v>35</v>
      </c>
      <c r="J474">
        <v>5</v>
      </c>
      <c r="K474" t="s">
        <v>19</v>
      </c>
      <c r="L474" t="s">
        <v>33</v>
      </c>
      <c r="M474">
        <v>3</v>
      </c>
      <c r="N474">
        <v>4</v>
      </c>
      <c r="O474" t="s">
        <v>2531</v>
      </c>
    </row>
    <row r="475" spans="1:15">
      <c r="A475" t="s">
        <v>562</v>
      </c>
      <c r="B475" t="s">
        <v>26</v>
      </c>
      <c r="C475">
        <v>2</v>
      </c>
      <c r="D475">
        <v>57.8</v>
      </c>
      <c r="E475">
        <v>115.6</v>
      </c>
      <c r="F475" s="12">
        <v>45678</v>
      </c>
      <c r="G475" s="12">
        <v>45679</v>
      </c>
      <c r="H475" t="s">
        <v>17</v>
      </c>
      <c r="I475" t="s">
        <v>18</v>
      </c>
      <c r="J475">
        <v>4</v>
      </c>
      <c r="K475" t="s">
        <v>19</v>
      </c>
      <c r="L475" t="s">
        <v>33</v>
      </c>
      <c r="M475">
        <v>1</v>
      </c>
      <c r="N475">
        <v>4</v>
      </c>
      <c r="O475" t="s">
        <v>2533</v>
      </c>
    </row>
    <row r="476" spans="1:15">
      <c r="A476" t="s">
        <v>825</v>
      </c>
      <c r="B476" t="s">
        <v>54</v>
      </c>
      <c r="C476">
        <v>2</v>
      </c>
      <c r="D476">
        <v>24.2</v>
      </c>
      <c r="E476">
        <v>48.4</v>
      </c>
      <c r="F476" s="12">
        <v>45689</v>
      </c>
      <c r="G476" s="12">
        <v>45692</v>
      </c>
      <c r="H476" t="s">
        <v>27</v>
      </c>
      <c r="I476" t="s">
        <v>51</v>
      </c>
      <c r="J476">
        <v>5</v>
      </c>
      <c r="K476" t="s">
        <v>19</v>
      </c>
      <c r="L476" t="s">
        <v>33</v>
      </c>
      <c r="M476">
        <v>3</v>
      </c>
      <c r="N476">
        <v>5</v>
      </c>
      <c r="O476" t="s">
        <v>2530</v>
      </c>
    </row>
    <row r="477" spans="1:15">
      <c r="A477" t="s">
        <v>812</v>
      </c>
      <c r="B477" t="s">
        <v>54</v>
      </c>
      <c r="C477">
        <v>2</v>
      </c>
      <c r="D477">
        <v>27.9</v>
      </c>
      <c r="E477">
        <v>55.8</v>
      </c>
      <c r="F477" s="12">
        <v>45688</v>
      </c>
      <c r="G477" s="12">
        <v>45688</v>
      </c>
      <c r="H477" t="s">
        <v>23</v>
      </c>
      <c r="I477" t="s">
        <v>40</v>
      </c>
      <c r="J477">
        <v>5</v>
      </c>
      <c r="K477" t="s">
        <v>19</v>
      </c>
      <c r="L477" t="s">
        <v>62</v>
      </c>
      <c r="M477">
        <v>0</v>
      </c>
      <c r="N477">
        <v>5</v>
      </c>
      <c r="O477" t="s">
        <v>2531</v>
      </c>
    </row>
    <row r="478" spans="1:15">
      <c r="A478" t="s">
        <v>809</v>
      </c>
      <c r="B478" t="s">
        <v>44</v>
      </c>
      <c r="C478">
        <v>2</v>
      </c>
      <c r="D478">
        <v>23.2</v>
      </c>
      <c r="E478">
        <v>46.4</v>
      </c>
      <c r="F478" s="12">
        <v>45688</v>
      </c>
      <c r="G478" s="12">
        <v>45689</v>
      </c>
      <c r="H478" t="s">
        <v>23</v>
      </c>
      <c r="I478" t="s">
        <v>51</v>
      </c>
      <c r="J478">
        <v>5</v>
      </c>
      <c r="K478" t="s">
        <v>19</v>
      </c>
      <c r="L478" t="s">
        <v>62</v>
      </c>
      <c r="M478">
        <v>1</v>
      </c>
      <c r="N478">
        <v>5</v>
      </c>
      <c r="O478" t="s">
        <v>2531</v>
      </c>
    </row>
    <row r="479" spans="1:15">
      <c r="A479" t="s">
        <v>808</v>
      </c>
      <c r="B479" t="s">
        <v>26</v>
      </c>
      <c r="C479">
        <v>2</v>
      </c>
      <c r="D479">
        <v>61.1</v>
      </c>
      <c r="E479">
        <v>122.2</v>
      </c>
      <c r="F479" s="12">
        <v>45688</v>
      </c>
      <c r="G479" s="12">
        <v>45691</v>
      </c>
      <c r="H479" t="s">
        <v>27</v>
      </c>
      <c r="I479" t="s">
        <v>35</v>
      </c>
      <c r="J479">
        <v>5</v>
      </c>
      <c r="K479" t="s">
        <v>19</v>
      </c>
      <c r="L479" t="s">
        <v>59</v>
      </c>
      <c r="M479">
        <v>3</v>
      </c>
      <c r="N479">
        <v>5</v>
      </c>
      <c r="O479" t="s">
        <v>2530</v>
      </c>
    </row>
    <row r="480" spans="1:15">
      <c r="A480" t="s">
        <v>567</v>
      </c>
      <c r="B480" t="s">
        <v>123</v>
      </c>
      <c r="C480">
        <v>2</v>
      </c>
      <c r="D480">
        <v>48.6</v>
      </c>
      <c r="E480">
        <v>97.2</v>
      </c>
      <c r="F480" s="12">
        <v>45678</v>
      </c>
      <c r="G480" s="12">
        <v>45682</v>
      </c>
      <c r="H480" t="s">
        <v>27</v>
      </c>
      <c r="I480" t="s">
        <v>51</v>
      </c>
      <c r="J480">
        <v>4</v>
      </c>
      <c r="K480" t="s">
        <v>19</v>
      </c>
      <c r="L480" t="s">
        <v>33</v>
      </c>
      <c r="M480">
        <v>4</v>
      </c>
      <c r="N480">
        <v>4</v>
      </c>
      <c r="O480" t="s">
        <v>2530</v>
      </c>
    </row>
    <row r="481" spans="1:15">
      <c r="A481" t="s">
        <v>807</v>
      </c>
      <c r="B481" t="s">
        <v>128</v>
      </c>
      <c r="C481">
        <v>2</v>
      </c>
      <c r="D481">
        <v>48.6</v>
      </c>
      <c r="E481">
        <v>97.2</v>
      </c>
      <c r="F481" s="12">
        <v>45688</v>
      </c>
      <c r="G481" s="12">
        <v>45692</v>
      </c>
      <c r="H481" t="s">
        <v>23</v>
      </c>
      <c r="I481" t="s">
        <v>35</v>
      </c>
      <c r="J481">
        <v>5</v>
      </c>
      <c r="K481" t="s">
        <v>19</v>
      </c>
      <c r="L481" t="s">
        <v>55</v>
      </c>
      <c r="M481">
        <v>4</v>
      </c>
      <c r="N481">
        <v>5</v>
      </c>
      <c r="O481" t="s">
        <v>2531</v>
      </c>
    </row>
    <row r="482" spans="1:15">
      <c r="A482" t="s">
        <v>569</v>
      </c>
      <c r="B482" t="s">
        <v>32</v>
      </c>
      <c r="C482">
        <v>2</v>
      </c>
      <c r="D482">
        <v>32.200000000000003</v>
      </c>
      <c r="E482">
        <v>64.400000000000006</v>
      </c>
      <c r="F482" s="12">
        <v>45678</v>
      </c>
      <c r="G482" s="12">
        <v>45681</v>
      </c>
      <c r="H482" t="s">
        <v>23</v>
      </c>
      <c r="I482" t="s">
        <v>40</v>
      </c>
      <c r="J482">
        <v>5</v>
      </c>
      <c r="K482" t="s">
        <v>19</v>
      </c>
      <c r="L482" t="s">
        <v>33</v>
      </c>
      <c r="M482">
        <v>3</v>
      </c>
      <c r="N482">
        <v>4</v>
      </c>
      <c r="O482" t="s">
        <v>2531</v>
      </c>
    </row>
    <row r="483" spans="1:15">
      <c r="A483" t="s">
        <v>805</v>
      </c>
      <c r="B483" t="s">
        <v>54</v>
      </c>
      <c r="C483">
        <v>2</v>
      </c>
      <c r="D483">
        <v>69.2</v>
      </c>
      <c r="E483">
        <v>138.4</v>
      </c>
      <c r="F483" s="12">
        <v>45688</v>
      </c>
      <c r="G483" s="12">
        <v>45690</v>
      </c>
      <c r="H483" t="s">
        <v>17</v>
      </c>
      <c r="I483" t="s">
        <v>40</v>
      </c>
      <c r="J483">
        <v>3</v>
      </c>
      <c r="K483" t="s">
        <v>19</v>
      </c>
      <c r="L483" t="s">
        <v>55</v>
      </c>
      <c r="M483">
        <v>2</v>
      </c>
      <c r="N483">
        <v>5</v>
      </c>
      <c r="O483" t="s">
        <v>2533</v>
      </c>
    </row>
    <row r="484" spans="1:15">
      <c r="A484" t="s">
        <v>571</v>
      </c>
      <c r="B484" t="s">
        <v>39</v>
      </c>
      <c r="C484">
        <v>2</v>
      </c>
      <c r="D484">
        <v>94.8</v>
      </c>
      <c r="E484">
        <v>189.6</v>
      </c>
      <c r="F484" s="12">
        <v>45679</v>
      </c>
      <c r="G484" s="12">
        <v>45682</v>
      </c>
      <c r="H484" t="s">
        <v>27</v>
      </c>
      <c r="I484" t="s">
        <v>35</v>
      </c>
      <c r="J484">
        <v>3</v>
      </c>
      <c r="K484" t="s">
        <v>19</v>
      </c>
      <c r="L484" t="s">
        <v>188</v>
      </c>
      <c r="M484">
        <v>3</v>
      </c>
      <c r="N484">
        <v>4</v>
      </c>
      <c r="O484" t="s">
        <v>2530</v>
      </c>
    </row>
    <row r="485" spans="1:15">
      <c r="A485" t="s">
        <v>798</v>
      </c>
      <c r="B485" t="s">
        <v>42</v>
      </c>
      <c r="C485">
        <v>2</v>
      </c>
      <c r="D485">
        <v>70.099999999999994</v>
      </c>
      <c r="E485">
        <v>140.19999999999999</v>
      </c>
      <c r="F485" s="12">
        <v>45687</v>
      </c>
      <c r="G485" s="12">
        <v>45688</v>
      </c>
      <c r="H485" t="s">
        <v>23</v>
      </c>
      <c r="I485" t="s">
        <v>51</v>
      </c>
      <c r="J485">
        <v>3</v>
      </c>
      <c r="K485" t="s">
        <v>19</v>
      </c>
      <c r="L485" t="s">
        <v>33</v>
      </c>
      <c r="M485">
        <v>1</v>
      </c>
      <c r="N485">
        <v>5</v>
      </c>
      <c r="O485" t="s">
        <v>2531</v>
      </c>
    </row>
    <row r="486" spans="1:15">
      <c r="A486" t="s">
        <v>791</v>
      </c>
      <c r="B486" t="s">
        <v>46</v>
      </c>
      <c r="C486">
        <v>2</v>
      </c>
      <c r="D486">
        <v>63.2</v>
      </c>
      <c r="E486">
        <v>126.4</v>
      </c>
      <c r="F486" s="12">
        <v>45687</v>
      </c>
      <c r="G486" s="12">
        <v>45688</v>
      </c>
      <c r="H486" t="s">
        <v>23</v>
      </c>
      <c r="I486" t="s">
        <v>35</v>
      </c>
      <c r="J486">
        <v>4</v>
      </c>
      <c r="K486" t="s">
        <v>19</v>
      </c>
      <c r="L486" t="s">
        <v>33</v>
      </c>
      <c r="M486">
        <v>1</v>
      </c>
      <c r="N486">
        <v>5</v>
      </c>
      <c r="O486" t="s">
        <v>2531</v>
      </c>
    </row>
    <row r="487" spans="1:15">
      <c r="A487" t="s">
        <v>790</v>
      </c>
      <c r="B487" t="s">
        <v>44</v>
      </c>
      <c r="C487">
        <v>2</v>
      </c>
      <c r="D487">
        <v>15.9</v>
      </c>
      <c r="E487">
        <v>31.8</v>
      </c>
      <c r="F487" s="12">
        <v>45687</v>
      </c>
      <c r="G487" s="12">
        <v>45688</v>
      </c>
      <c r="H487" t="s">
        <v>27</v>
      </c>
      <c r="I487" t="s">
        <v>18</v>
      </c>
      <c r="J487">
        <v>4</v>
      </c>
      <c r="K487" t="s">
        <v>19</v>
      </c>
      <c r="L487" t="s">
        <v>334</v>
      </c>
      <c r="M487">
        <v>1</v>
      </c>
      <c r="N487">
        <v>5</v>
      </c>
      <c r="O487" t="s">
        <v>2530</v>
      </c>
    </row>
    <row r="488" spans="1:15">
      <c r="A488" t="s">
        <v>789</v>
      </c>
      <c r="B488" t="s">
        <v>39</v>
      </c>
      <c r="C488">
        <v>2</v>
      </c>
      <c r="D488">
        <v>42.6</v>
      </c>
      <c r="E488">
        <v>85.2</v>
      </c>
      <c r="F488" s="12">
        <v>45687</v>
      </c>
      <c r="G488" s="12">
        <v>45690</v>
      </c>
      <c r="H488" t="s">
        <v>27</v>
      </c>
      <c r="I488" t="s">
        <v>51</v>
      </c>
      <c r="J488">
        <v>4</v>
      </c>
      <c r="K488" t="s">
        <v>19</v>
      </c>
      <c r="L488" t="s">
        <v>147</v>
      </c>
      <c r="M488">
        <v>3</v>
      </c>
      <c r="N488">
        <v>5</v>
      </c>
      <c r="O488" t="s">
        <v>2530</v>
      </c>
    </row>
    <row r="489" spans="1:15">
      <c r="A489" t="s">
        <v>788</v>
      </c>
      <c r="B489" t="s">
        <v>46</v>
      </c>
      <c r="C489">
        <v>2</v>
      </c>
      <c r="D489">
        <v>43.4</v>
      </c>
      <c r="E489">
        <v>86.8</v>
      </c>
      <c r="F489" s="12">
        <v>45687</v>
      </c>
      <c r="G489" s="12">
        <v>45688</v>
      </c>
      <c r="H489" t="s">
        <v>23</v>
      </c>
      <c r="I489" t="s">
        <v>35</v>
      </c>
      <c r="J489">
        <v>3</v>
      </c>
      <c r="K489" t="s">
        <v>19</v>
      </c>
      <c r="L489" t="s">
        <v>147</v>
      </c>
      <c r="M489">
        <v>1</v>
      </c>
      <c r="N489">
        <v>5</v>
      </c>
      <c r="O489" t="s">
        <v>2531</v>
      </c>
    </row>
    <row r="490" spans="1:15">
      <c r="A490" t="s">
        <v>782</v>
      </c>
      <c r="B490" t="s">
        <v>30</v>
      </c>
      <c r="C490">
        <v>2</v>
      </c>
      <c r="D490">
        <v>36.200000000000003</v>
      </c>
      <c r="E490">
        <v>72.400000000000006</v>
      </c>
      <c r="F490" s="12">
        <v>45687</v>
      </c>
      <c r="G490" s="12">
        <v>45688</v>
      </c>
      <c r="H490" t="s">
        <v>27</v>
      </c>
      <c r="I490" t="s">
        <v>51</v>
      </c>
      <c r="J490">
        <v>4</v>
      </c>
      <c r="K490" t="s">
        <v>19</v>
      </c>
      <c r="L490" t="s">
        <v>77</v>
      </c>
      <c r="M490">
        <v>1</v>
      </c>
      <c r="N490">
        <v>5</v>
      </c>
      <c r="O490" t="s">
        <v>2530</v>
      </c>
    </row>
    <row r="491" spans="1:15">
      <c r="A491" t="s">
        <v>578</v>
      </c>
      <c r="B491" t="s">
        <v>146</v>
      </c>
      <c r="C491">
        <v>2</v>
      </c>
      <c r="D491">
        <v>103.5</v>
      </c>
      <c r="E491">
        <v>207</v>
      </c>
      <c r="F491" s="12">
        <v>45679</v>
      </c>
      <c r="G491" s="12">
        <v>45681</v>
      </c>
      <c r="H491" t="s">
        <v>27</v>
      </c>
      <c r="I491" t="s">
        <v>35</v>
      </c>
      <c r="J491">
        <v>4</v>
      </c>
      <c r="K491" t="s">
        <v>19</v>
      </c>
      <c r="L491" t="s">
        <v>74</v>
      </c>
      <c r="M491">
        <v>2</v>
      </c>
      <c r="N491">
        <v>4</v>
      </c>
      <c r="O491" t="s">
        <v>2530</v>
      </c>
    </row>
    <row r="492" spans="1:15">
      <c r="A492" t="s">
        <v>579</v>
      </c>
      <c r="B492" t="s">
        <v>32</v>
      </c>
      <c r="C492">
        <v>2</v>
      </c>
      <c r="D492">
        <v>41.2</v>
      </c>
      <c r="E492">
        <v>82.4</v>
      </c>
      <c r="F492" s="12">
        <v>45679</v>
      </c>
      <c r="G492" s="12">
        <v>45680</v>
      </c>
      <c r="H492" t="s">
        <v>27</v>
      </c>
      <c r="I492" t="s">
        <v>35</v>
      </c>
      <c r="J492">
        <v>4</v>
      </c>
      <c r="K492" t="s">
        <v>19</v>
      </c>
      <c r="L492" t="s">
        <v>74</v>
      </c>
      <c r="M492">
        <v>1</v>
      </c>
      <c r="N492">
        <v>4</v>
      </c>
      <c r="O492" t="s">
        <v>2530</v>
      </c>
    </row>
    <row r="493" spans="1:15">
      <c r="A493" t="s">
        <v>781</v>
      </c>
      <c r="B493" t="s">
        <v>37</v>
      </c>
      <c r="C493">
        <v>2</v>
      </c>
      <c r="D493">
        <v>55.6</v>
      </c>
      <c r="E493">
        <v>111.2</v>
      </c>
      <c r="F493" s="12">
        <v>45687</v>
      </c>
      <c r="G493" s="12">
        <v>45690</v>
      </c>
      <c r="H493" t="s">
        <v>27</v>
      </c>
      <c r="I493" t="s">
        <v>51</v>
      </c>
      <c r="J493">
        <v>4</v>
      </c>
      <c r="K493" t="s">
        <v>19</v>
      </c>
      <c r="L493" t="s">
        <v>77</v>
      </c>
      <c r="M493">
        <v>3</v>
      </c>
      <c r="N493">
        <v>5</v>
      </c>
      <c r="O493" t="s">
        <v>2530</v>
      </c>
    </row>
    <row r="494" spans="1:15">
      <c r="A494" t="s">
        <v>581</v>
      </c>
      <c r="B494" t="s">
        <v>44</v>
      </c>
      <c r="C494">
        <v>2</v>
      </c>
      <c r="D494">
        <v>42.6</v>
      </c>
      <c r="E494">
        <v>85.2</v>
      </c>
      <c r="F494" s="12">
        <v>45679</v>
      </c>
      <c r="G494" s="12">
        <v>45681</v>
      </c>
      <c r="H494" t="s">
        <v>27</v>
      </c>
      <c r="I494" t="s">
        <v>70</v>
      </c>
      <c r="J494">
        <v>4</v>
      </c>
      <c r="K494" t="s">
        <v>19</v>
      </c>
      <c r="L494" t="s">
        <v>77</v>
      </c>
      <c r="M494">
        <v>2</v>
      </c>
      <c r="N494">
        <v>4</v>
      </c>
      <c r="O494" t="s">
        <v>2530</v>
      </c>
    </row>
    <row r="495" spans="1:15">
      <c r="A495" t="s">
        <v>775</v>
      </c>
      <c r="B495" t="s">
        <v>69</v>
      </c>
      <c r="C495">
        <v>2</v>
      </c>
      <c r="D495">
        <v>43.1</v>
      </c>
      <c r="E495">
        <v>86.2</v>
      </c>
      <c r="F495" s="12">
        <v>45687</v>
      </c>
      <c r="G495" s="12">
        <v>45688</v>
      </c>
      <c r="H495" t="s">
        <v>27</v>
      </c>
      <c r="I495" t="s">
        <v>35</v>
      </c>
      <c r="J495">
        <v>5</v>
      </c>
      <c r="K495" t="s">
        <v>19</v>
      </c>
      <c r="L495" t="s">
        <v>62</v>
      </c>
      <c r="M495">
        <v>1</v>
      </c>
      <c r="N495">
        <v>5</v>
      </c>
      <c r="O495" t="s">
        <v>2530</v>
      </c>
    </row>
    <row r="496" spans="1:15">
      <c r="A496" t="s">
        <v>773</v>
      </c>
      <c r="B496" t="s">
        <v>46</v>
      </c>
      <c r="C496">
        <v>2</v>
      </c>
      <c r="D496">
        <v>40.799999999999997</v>
      </c>
      <c r="E496">
        <v>81.599999999999994</v>
      </c>
      <c r="F496" s="12">
        <v>45687</v>
      </c>
      <c r="G496" s="12">
        <v>45689</v>
      </c>
      <c r="H496" t="s">
        <v>27</v>
      </c>
      <c r="I496" t="s">
        <v>51</v>
      </c>
      <c r="J496">
        <v>5</v>
      </c>
      <c r="K496" t="s">
        <v>19</v>
      </c>
      <c r="L496" t="s">
        <v>62</v>
      </c>
      <c r="M496">
        <v>2</v>
      </c>
      <c r="N496">
        <v>5</v>
      </c>
      <c r="O496" t="s">
        <v>2530</v>
      </c>
    </row>
    <row r="497" spans="1:15">
      <c r="A497" t="s">
        <v>584</v>
      </c>
      <c r="B497" t="s">
        <v>171</v>
      </c>
      <c r="C497">
        <v>2</v>
      </c>
      <c r="D497">
        <v>27.7</v>
      </c>
      <c r="E497">
        <v>55.4</v>
      </c>
      <c r="F497" s="12">
        <v>45679</v>
      </c>
      <c r="G497" s="12">
        <v>45680</v>
      </c>
      <c r="H497" t="s">
        <v>27</v>
      </c>
      <c r="I497" t="s">
        <v>18</v>
      </c>
      <c r="J497">
        <v>3</v>
      </c>
      <c r="K497" t="s">
        <v>19</v>
      </c>
      <c r="L497" t="s">
        <v>82</v>
      </c>
      <c r="M497">
        <v>1</v>
      </c>
      <c r="N497">
        <v>4</v>
      </c>
      <c r="O497" t="s">
        <v>2530</v>
      </c>
    </row>
    <row r="498" spans="1:15">
      <c r="A498" t="s">
        <v>771</v>
      </c>
      <c r="B498" t="s">
        <v>46</v>
      </c>
      <c r="C498">
        <v>2</v>
      </c>
      <c r="D498">
        <v>72.2</v>
      </c>
      <c r="E498">
        <v>144.4</v>
      </c>
      <c r="F498" s="12">
        <v>45686</v>
      </c>
      <c r="G498" s="12">
        <v>45688</v>
      </c>
      <c r="H498" t="s">
        <v>27</v>
      </c>
      <c r="I498" t="s">
        <v>70</v>
      </c>
      <c r="J498">
        <v>3</v>
      </c>
      <c r="K498" t="s">
        <v>19</v>
      </c>
      <c r="L498" t="s">
        <v>55</v>
      </c>
      <c r="M498">
        <v>2</v>
      </c>
      <c r="N498">
        <v>5</v>
      </c>
      <c r="O498" t="s">
        <v>2530</v>
      </c>
    </row>
    <row r="499" spans="1:15">
      <c r="A499" t="s">
        <v>586</v>
      </c>
      <c r="B499" t="s">
        <v>67</v>
      </c>
      <c r="C499">
        <v>2</v>
      </c>
      <c r="D499">
        <v>72.7</v>
      </c>
      <c r="E499">
        <v>145.4</v>
      </c>
      <c r="F499" s="12">
        <v>45679</v>
      </c>
      <c r="G499" s="12">
        <v>45683</v>
      </c>
      <c r="H499" t="s">
        <v>27</v>
      </c>
      <c r="I499" t="s">
        <v>70</v>
      </c>
      <c r="J499">
        <v>5</v>
      </c>
      <c r="K499" t="s">
        <v>19</v>
      </c>
      <c r="L499" t="s">
        <v>587</v>
      </c>
      <c r="M499">
        <v>4</v>
      </c>
      <c r="N499">
        <v>4</v>
      </c>
      <c r="O499" t="s">
        <v>2530</v>
      </c>
    </row>
    <row r="500" spans="1:15">
      <c r="A500" t="s">
        <v>765</v>
      </c>
      <c r="B500" t="s">
        <v>42</v>
      </c>
      <c r="C500">
        <v>2</v>
      </c>
      <c r="D500">
        <v>105</v>
      </c>
      <c r="E500">
        <v>210</v>
      </c>
      <c r="F500" s="12">
        <v>45686</v>
      </c>
      <c r="G500" s="12">
        <v>45692</v>
      </c>
      <c r="H500" t="s">
        <v>27</v>
      </c>
      <c r="I500" t="s">
        <v>18</v>
      </c>
      <c r="J500">
        <v>5</v>
      </c>
      <c r="K500" t="s">
        <v>19</v>
      </c>
      <c r="L500" t="s">
        <v>33</v>
      </c>
      <c r="M500">
        <v>6</v>
      </c>
      <c r="N500">
        <v>5</v>
      </c>
      <c r="O500" t="s">
        <v>2530</v>
      </c>
    </row>
    <row r="501" spans="1:15">
      <c r="A501" t="s">
        <v>754</v>
      </c>
      <c r="B501" t="s">
        <v>26</v>
      </c>
      <c r="C501">
        <v>2</v>
      </c>
      <c r="D501">
        <v>130.69999999999999</v>
      </c>
      <c r="E501">
        <v>261.39999999999998</v>
      </c>
      <c r="F501" s="12">
        <v>45686</v>
      </c>
      <c r="G501" s="12">
        <v>45687</v>
      </c>
      <c r="H501" t="s">
        <v>27</v>
      </c>
      <c r="I501" t="s">
        <v>40</v>
      </c>
      <c r="J501">
        <v>4</v>
      </c>
      <c r="K501" t="s">
        <v>19</v>
      </c>
      <c r="L501" t="s">
        <v>587</v>
      </c>
      <c r="M501">
        <v>1</v>
      </c>
      <c r="N501">
        <v>5</v>
      </c>
      <c r="O501" t="s">
        <v>2530</v>
      </c>
    </row>
    <row r="502" spans="1:15">
      <c r="A502" t="s">
        <v>590</v>
      </c>
      <c r="B502" t="s">
        <v>54</v>
      </c>
      <c r="C502">
        <v>2</v>
      </c>
      <c r="D502">
        <v>30.5</v>
      </c>
      <c r="E502">
        <v>61</v>
      </c>
      <c r="F502" s="12">
        <v>45679</v>
      </c>
      <c r="G502" s="12">
        <v>45679</v>
      </c>
      <c r="H502" t="s">
        <v>17</v>
      </c>
      <c r="I502" t="s">
        <v>35</v>
      </c>
      <c r="J502">
        <v>3</v>
      </c>
      <c r="K502" t="s">
        <v>19</v>
      </c>
      <c r="L502" t="s">
        <v>33</v>
      </c>
      <c r="M502">
        <v>0</v>
      </c>
      <c r="N502">
        <v>4</v>
      </c>
      <c r="O502" t="s">
        <v>2533</v>
      </c>
    </row>
    <row r="503" spans="1:15">
      <c r="A503" t="s">
        <v>591</v>
      </c>
      <c r="B503" t="s">
        <v>46</v>
      </c>
      <c r="C503">
        <v>2</v>
      </c>
      <c r="D503">
        <v>69.599999999999994</v>
      </c>
      <c r="E503">
        <v>139.19999999999999</v>
      </c>
      <c r="F503" s="12">
        <v>45679</v>
      </c>
      <c r="G503" s="12">
        <v>45680</v>
      </c>
      <c r="H503" t="s">
        <v>23</v>
      </c>
      <c r="I503" t="s">
        <v>18</v>
      </c>
      <c r="J503">
        <v>3</v>
      </c>
      <c r="K503" t="s">
        <v>19</v>
      </c>
      <c r="L503" t="s">
        <v>33</v>
      </c>
      <c r="M503">
        <v>1</v>
      </c>
      <c r="N503">
        <v>4</v>
      </c>
      <c r="O503" t="s">
        <v>2531</v>
      </c>
    </row>
    <row r="504" spans="1:15">
      <c r="A504" t="s">
        <v>750</v>
      </c>
      <c r="B504" t="s">
        <v>16</v>
      </c>
      <c r="C504">
        <v>2</v>
      </c>
      <c r="D504">
        <v>15.8</v>
      </c>
      <c r="E504">
        <v>31.6</v>
      </c>
      <c r="F504" s="12">
        <v>45686</v>
      </c>
      <c r="G504" s="12">
        <v>45688</v>
      </c>
      <c r="H504" t="s">
        <v>23</v>
      </c>
      <c r="I504" t="s">
        <v>35</v>
      </c>
      <c r="J504">
        <v>4</v>
      </c>
      <c r="K504" t="s">
        <v>19</v>
      </c>
      <c r="L504" t="s">
        <v>77</v>
      </c>
      <c r="M504">
        <v>2</v>
      </c>
      <c r="N504">
        <v>5</v>
      </c>
      <c r="O504" t="s">
        <v>2531</v>
      </c>
    </row>
    <row r="505" spans="1:15">
      <c r="A505" t="s">
        <v>749</v>
      </c>
      <c r="B505" t="s">
        <v>42</v>
      </c>
      <c r="C505">
        <v>2</v>
      </c>
      <c r="D505">
        <v>86.8</v>
      </c>
      <c r="E505">
        <v>173.6</v>
      </c>
      <c r="F505" s="12">
        <v>45686</v>
      </c>
      <c r="G505" s="12">
        <v>45690</v>
      </c>
      <c r="H505" t="s">
        <v>27</v>
      </c>
      <c r="I505" t="s">
        <v>70</v>
      </c>
      <c r="J505">
        <v>5</v>
      </c>
      <c r="K505" t="s">
        <v>19</v>
      </c>
      <c r="L505" t="s">
        <v>77</v>
      </c>
      <c r="M505">
        <v>4</v>
      </c>
      <c r="N505">
        <v>5</v>
      </c>
      <c r="O505" t="s">
        <v>2530</v>
      </c>
    </row>
    <row r="506" spans="1:15">
      <c r="A506" t="s">
        <v>594</v>
      </c>
      <c r="B506" t="s">
        <v>39</v>
      </c>
      <c r="C506">
        <v>2</v>
      </c>
      <c r="D506">
        <v>41.5</v>
      </c>
      <c r="E506">
        <v>83</v>
      </c>
      <c r="F506" s="12">
        <v>45679</v>
      </c>
      <c r="G506" s="12">
        <v>45682</v>
      </c>
      <c r="H506" t="s">
        <v>27</v>
      </c>
      <c r="I506" t="s">
        <v>18</v>
      </c>
      <c r="J506">
        <v>5</v>
      </c>
      <c r="K506" t="s">
        <v>19</v>
      </c>
      <c r="L506" t="s">
        <v>33</v>
      </c>
      <c r="M506">
        <v>3</v>
      </c>
      <c r="N506">
        <v>4</v>
      </c>
      <c r="O506" t="s">
        <v>2530</v>
      </c>
    </row>
    <row r="507" spans="1:15">
      <c r="A507" t="s">
        <v>740</v>
      </c>
      <c r="B507" t="s">
        <v>26</v>
      </c>
      <c r="C507">
        <v>2</v>
      </c>
      <c r="D507">
        <v>83.7</v>
      </c>
      <c r="E507">
        <v>167.4</v>
      </c>
      <c r="F507" s="12">
        <v>45686</v>
      </c>
      <c r="G507" s="12">
        <v>45686</v>
      </c>
      <c r="H507" t="s">
        <v>17</v>
      </c>
      <c r="I507" t="s">
        <v>35</v>
      </c>
      <c r="J507">
        <v>5</v>
      </c>
      <c r="K507" t="s">
        <v>19</v>
      </c>
      <c r="L507" t="s">
        <v>59</v>
      </c>
      <c r="M507">
        <v>0</v>
      </c>
      <c r="N507">
        <v>5</v>
      </c>
      <c r="O507" t="s">
        <v>2533</v>
      </c>
    </row>
    <row r="508" spans="1:15">
      <c r="A508" t="s">
        <v>737</v>
      </c>
      <c r="B508" t="s">
        <v>39</v>
      </c>
      <c r="C508">
        <v>2</v>
      </c>
      <c r="D508">
        <v>47.9</v>
      </c>
      <c r="E508">
        <v>95.8</v>
      </c>
      <c r="F508" s="12">
        <v>45685</v>
      </c>
      <c r="G508" s="12">
        <v>45686</v>
      </c>
      <c r="H508" t="s">
        <v>27</v>
      </c>
      <c r="I508" t="s">
        <v>18</v>
      </c>
      <c r="J508">
        <v>4</v>
      </c>
      <c r="K508" t="s">
        <v>19</v>
      </c>
      <c r="L508" t="s">
        <v>55</v>
      </c>
      <c r="M508">
        <v>1</v>
      </c>
      <c r="N508">
        <v>5</v>
      </c>
      <c r="O508" t="s">
        <v>2530</v>
      </c>
    </row>
    <row r="509" spans="1:15">
      <c r="A509" t="s">
        <v>734</v>
      </c>
      <c r="B509" t="s">
        <v>16</v>
      </c>
      <c r="C509">
        <v>2</v>
      </c>
      <c r="D509">
        <v>22.5</v>
      </c>
      <c r="E509">
        <v>45</v>
      </c>
      <c r="F509" s="12">
        <v>45685</v>
      </c>
      <c r="G509" s="12">
        <v>45688</v>
      </c>
      <c r="H509" t="s">
        <v>23</v>
      </c>
      <c r="I509" t="s">
        <v>18</v>
      </c>
      <c r="J509">
        <v>4</v>
      </c>
      <c r="K509" t="s">
        <v>19</v>
      </c>
      <c r="L509" t="s">
        <v>33</v>
      </c>
      <c r="M509">
        <v>3</v>
      </c>
      <c r="N509">
        <v>5</v>
      </c>
      <c r="O509" t="s">
        <v>2531</v>
      </c>
    </row>
    <row r="510" spans="1:15">
      <c r="A510" t="s">
        <v>598</v>
      </c>
      <c r="B510" t="s">
        <v>44</v>
      </c>
      <c r="C510">
        <v>2</v>
      </c>
      <c r="D510">
        <v>35.1</v>
      </c>
      <c r="E510">
        <v>70.2</v>
      </c>
      <c r="F510" s="12">
        <v>45679</v>
      </c>
      <c r="G510" s="12">
        <v>45680</v>
      </c>
      <c r="H510" t="s">
        <v>23</v>
      </c>
      <c r="I510" t="s">
        <v>35</v>
      </c>
      <c r="J510">
        <v>4</v>
      </c>
      <c r="K510" t="s">
        <v>19</v>
      </c>
      <c r="L510" t="s">
        <v>55</v>
      </c>
      <c r="M510">
        <v>1</v>
      </c>
      <c r="N510">
        <v>4</v>
      </c>
      <c r="O510" t="s">
        <v>2531</v>
      </c>
    </row>
    <row r="511" spans="1:15">
      <c r="A511" t="s">
        <v>723</v>
      </c>
      <c r="B511" t="s">
        <v>44</v>
      </c>
      <c r="C511">
        <v>2</v>
      </c>
      <c r="D511">
        <v>22.1</v>
      </c>
      <c r="E511">
        <v>44.2</v>
      </c>
      <c r="F511" s="12">
        <v>45684</v>
      </c>
      <c r="G511" s="12">
        <v>45687</v>
      </c>
      <c r="H511" t="s">
        <v>23</v>
      </c>
      <c r="I511" t="s">
        <v>35</v>
      </c>
      <c r="J511">
        <v>5</v>
      </c>
      <c r="K511" t="s">
        <v>19</v>
      </c>
      <c r="L511" t="s">
        <v>115</v>
      </c>
      <c r="M511">
        <v>3</v>
      </c>
      <c r="N511">
        <v>5</v>
      </c>
      <c r="O511" t="s">
        <v>2531</v>
      </c>
    </row>
    <row r="512" spans="1:15">
      <c r="A512" t="s">
        <v>720</v>
      </c>
      <c r="B512" t="s">
        <v>44</v>
      </c>
      <c r="C512">
        <v>2</v>
      </c>
      <c r="D512">
        <v>40.1</v>
      </c>
      <c r="E512">
        <v>80.2</v>
      </c>
      <c r="F512" s="12">
        <v>45684</v>
      </c>
      <c r="G512" s="12">
        <v>45685</v>
      </c>
      <c r="H512" t="s">
        <v>27</v>
      </c>
      <c r="I512" t="s">
        <v>40</v>
      </c>
      <c r="J512">
        <v>4</v>
      </c>
      <c r="K512" t="s">
        <v>19</v>
      </c>
      <c r="L512" t="s">
        <v>108</v>
      </c>
      <c r="M512">
        <v>1</v>
      </c>
      <c r="N512">
        <v>5</v>
      </c>
      <c r="O512" t="s">
        <v>2530</v>
      </c>
    </row>
    <row r="513" spans="1:15">
      <c r="A513" t="s">
        <v>717</v>
      </c>
      <c r="B513" t="s">
        <v>39</v>
      </c>
      <c r="C513">
        <v>2</v>
      </c>
      <c r="D513">
        <v>62.5</v>
      </c>
      <c r="E513">
        <v>125</v>
      </c>
      <c r="F513" s="12">
        <v>45684</v>
      </c>
      <c r="G513" s="12">
        <v>45685</v>
      </c>
      <c r="H513" t="s">
        <v>17</v>
      </c>
      <c r="I513" t="s">
        <v>18</v>
      </c>
      <c r="J513">
        <v>5</v>
      </c>
      <c r="K513" t="s">
        <v>19</v>
      </c>
      <c r="L513" t="s">
        <v>77</v>
      </c>
      <c r="M513">
        <v>1</v>
      </c>
      <c r="N513">
        <v>5</v>
      </c>
      <c r="O513" t="s">
        <v>2533</v>
      </c>
    </row>
    <row r="514" spans="1:15">
      <c r="A514" t="s">
        <v>716</v>
      </c>
      <c r="B514" t="s">
        <v>123</v>
      </c>
      <c r="C514">
        <v>2</v>
      </c>
      <c r="D514">
        <v>72.400000000000006</v>
      </c>
      <c r="E514">
        <v>144.80000000000001</v>
      </c>
      <c r="F514" s="12">
        <v>45684</v>
      </c>
      <c r="G514" s="12">
        <v>45689</v>
      </c>
      <c r="H514" t="s">
        <v>27</v>
      </c>
      <c r="I514" t="s">
        <v>18</v>
      </c>
      <c r="J514">
        <v>4</v>
      </c>
      <c r="K514" t="s">
        <v>19</v>
      </c>
      <c r="L514" t="s">
        <v>103</v>
      </c>
      <c r="M514">
        <v>5</v>
      </c>
      <c r="N514">
        <v>5</v>
      </c>
      <c r="O514" t="s">
        <v>2530</v>
      </c>
    </row>
    <row r="515" spans="1:15">
      <c r="A515" t="s">
        <v>710</v>
      </c>
      <c r="B515" t="s">
        <v>44</v>
      </c>
      <c r="C515">
        <v>2</v>
      </c>
      <c r="D515">
        <v>58.2</v>
      </c>
      <c r="E515">
        <v>116.4</v>
      </c>
      <c r="F515" s="12">
        <v>45683</v>
      </c>
      <c r="G515" s="12">
        <v>45684</v>
      </c>
      <c r="H515" t="s">
        <v>23</v>
      </c>
      <c r="I515" t="s">
        <v>40</v>
      </c>
      <c r="J515">
        <v>5</v>
      </c>
      <c r="K515" t="s">
        <v>19</v>
      </c>
      <c r="L515" t="s">
        <v>33</v>
      </c>
      <c r="M515">
        <v>1</v>
      </c>
      <c r="N515">
        <v>5</v>
      </c>
      <c r="O515" t="s">
        <v>2531</v>
      </c>
    </row>
    <row r="516" spans="1:15">
      <c r="A516" t="s">
        <v>604</v>
      </c>
      <c r="B516" t="s">
        <v>54</v>
      </c>
      <c r="C516">
        <v>2</v>
      </c>
      <c r="D516">
        <v>20.8</v>
      </c>
      <c r="E516">
        <v>41.6</v>
      </c>
      <c r="F516" s="12">
        <v>45680</v>
      </c>
      <c r="G516" s="12">
        <v>45682</v>
      </c>
      <c r="H516" t="s">
        <v>23</v>
      </c>
      <c r="I516" t="s">
        <v>18</v>
      </c>
      <c r="J516">
        <v>5</v>
      </c>
      <c r="K516" t="s">
        <v>19</v>
      </c>
      <c r="L516" t="s">
        <v>77</v>
      </c>
      <c r="M516">
        <v>2</v>
      </c>
      <c r="N516">
        <v>4</v>
      </c>
      <c r="O516" t="s">
        <v>2531</v>
      </c>
    </row>
    <row r="517" spans="1:15">
      <c r="A517" t="s">
        <v>709</v>
      </c>
      <c r="B517" t="s">
        <v>16</v>
      </c>
      <c r="C517">
        <v>2</v>
      </c>
      <c r="D517">
        <v>34.6</v>
      </c>
      <c r="E517">
        <v>69.2</v>
      </c>
      <c r="F517" s="12">
        <v>45683</v>
      </c>
      <c r="G517" s="12">
        <v>45684</v>
      </c>
      <c r="H517" t="s">
        <v>23</v>
      </c>
      <c r="I517" t="s">
        <v>70</v>
      </c>
      <c r="J517">
        <v>3</v>
      </c>
      <c r="K517" t="s">
        <v>19</v>
      </c>
      <c r="L517" t="s">
        <v>33</v>
      </c>
      <c r="M517">
        <v>1</v>
      </c>
      <c r="N517">
        <v>5</v>
      </c>
      <c r="O517" t="s">
        <v>2531</v>
      </c>
    </row>
    <row r="518" spans="1:15">
      <c r="A518" t="s">
        <v>606</v>
      </c>
      <c r="B518" t="s">
        <v>54</v>
      </c>
      <c r="C518">
        <v>2</v>
      </c>
      <c r="D518">
        <v>38.9</v>
      </c>
      <c r="E518">
        <v>77.8</v>
      </c>
      <c r="F518" s="12">
        <v>45680</v>
      </c>
      <c r="G518" s="12">
        <v>45682</v>
      </c>
      <c r="H518" t="s">
        <v>27</v>
      </c>
      <c r="I518" t="s">
        <v>18</v>
      </c>
      <c r="J518">
        <v>4</v>
      </c>
      <c r="K518" t="s">
        <v>19</v>
      </c>
      <c r="L518" t="s">
        <v>108</v>
      </c>
      <c r="M518">
        <v>2</v>
      </c>
      <c r="N518">
        <v>4</v>
      </c>
      <c r="O518" t="s">
        <v>2530</v>
      </c>
    </row>
    <row r="519" spans="1:15">
      <c r="A519" t="s">
        <v>607</v>
      </c>
      <c r="B519" t="s">
        <v>16</v>
      </c>
      <c r="C519">
        <v>2</v>
      </c>
      <c r="D519">
        <v>10.8</v>
      </c>
      <c r="E519">
        <v>21.6</v>
      </c>
      <c r="F519" s="12">
        <v>45680</v>
      </c>
      <c r="G519" s="12">
        <v>45683</v>
      </c>
      <c r="H519" t="s">
        <v>27</v>
      </c>
      <c r="I519" t="s">
        <v>35</v>
      </c>
      <c r="J519">
        <v>5</v>
      </c>
      <c r="K519" t="s">
        <v>19</v>
      </c>
      <c r="L519" t="s">
        <v>608</v>
      </c>
      <c r="M519">
        <v>3</v>
      </c>
      <c r="N519">
        <v>4</v>
      </c>
      <c r="O519" t="s">
        <v>2530</v>
      </c>
    </row>
    <row r="520" spans="1:15">
      <c r="A520" t="s">
        <v>705</v>
      </c>
      <c r="B520" t="s">
        <v>42</v>
      </c>
      <c r="C520">
        <v>2</v>
      </c>
      <c r="D520">
        <v>31</v>
      </c>
      <c r="E520">
        <v>62</v>
      </c>
      <c r="F520" s="12">
        <v>45683</v>
      </c>
      <c r="G520" s="12">
        <v>45684</v>
      </c>
      <c r="H520" t="s">
        <v>27</v>
      </c>
      <c r="I520" t="s">
        <v>18</v>
      </c>
      <c r="J520">
        <v>5</v>
      </c>
      <c r="K520" t="s">
        <v>19</v>
      </c>
      <c r="L520" t="s">
        <v>24</v>
      </c>
      <c r="M520">
        <v>1</v>
      </c>
      <c r="N520">
        <v>5</v>
      </c>
      <c r="O520" t="s">
        <v>2530</v>
      </c>
    </row>
    <row r="521" spans="1:15">
      <c r="A521" t="s">
        <v>699</v>
      </c>
      <c r="B521" t="s">
        <v>16</v>
      </c>
      <c r="C521">
        <v>2</v>
      </c>
      <c r="D521">
        <v>15.4</v>
      </c>
      <c r="E521">
        <v>30.8</v>
      </c>
      <c r="F521" s="12">
        <v>45683</v>
      </c>
      <c r="G521" s="12">
        <v>45683</v>
      </c>
      <c r="H521" t="s">
        <v>27</v>
      </c>
      <c r="I521" t="s">
        <v>51</v>
      </c>
      <c r="J521">
        <v>4</v>
      </c>
      <c r="K521" t="s">
        <v>19</v>
      </c>
      <c r="L521" t="s">
        <v>700</v>
      </c>
      <c r="M521">
        <v>0</v>
      </c>
      <c r="N521">
        <v>5</v>
      </c>
      <c r="O521" t="s">
        <v>2530</v>
      </c>
    </row>
    <row r="522" spans="1:15">
      <c r="A522" t="s">
        <v>611</v>
      </c>
      <c r="B522" t="s">
        <v>32</v>
      </c>
      <c r="C522">
        <v>2</v>
      </c>
      <c r="D522">
        <v>25.1</v>
      </c>
      <c r="E522">
        <v>50.2</v>
      </c>
      <c r="F522" s="12">
        <v>45680</v>
      </c>
      <c r="G522" s="12">
        <v>45681</v>
      </c>
      <c r="H522" t="s">
        <v>23</v>
      </c>
      <c r="I522" t="s">
        <v>18</v>
      </c>
      <c r="J522">
        <v>3</v>
      </c>
      <c r="K522" t="s">
        <v>19</v>
      </c>
      <c r="L522" t="s">
        <v>28</v>
      </c>
      <c r="M522">
        <v>1</v>
      </c>
      <c r="N522">
        <v>4</v>
      </c>
      <c r="O522" t="s">
        <v>2531</v>
      </c>
    </row>
    <row r="523" spans="1:15">
      <c r="A523" t="s">
        <v>689</v>
      </c>
      <c r="B523" t="s">
        <v>37</v>
      </c>
      <c r="C523">
        <v>2</v>
      </c>
      <c r="D523">
        <v>50.4</v>
      </c>
      <c r="E523">
        <v>100.8</v>
      </c>
      <c r="F523" s="12">
        <v>45683</v>
      </c>
      <c r="G523" s="12">
        <v>45684</v>
      </c>
      <c r="H523" t="s">
        <v>27</v>
      </c>
      <c r="I523" t="s">
        <v>40</v>
      </c>
      <c r="J523">
        <v>4</v>
      </c>
      <c r="K523" t="s">
        <v>19</v>
      </c>
      <c r="L523" t="s">
        <v>33</v>
      </c>
      <c r="M523">
        <v>1</v>
      </c>
      <c r="N523">
        <v>5</v>
      </c>
      <c r="O523" t="s">
        <v>2530</v>
      </c>
    </row>
    <row r="524" spans="1:15">
      <c r="A524" t="s">
        <v>613</v>
      </c>
      <c r="B524" t="s">
        <v>26</v>
      </c>
      <c r="C524">
        <v>2</v>
      </c>
      <c r="D524">
        <v>57.3</v>
      </c>
      <c r="E524">
        <v>114.6</v>
      </c>
      <c r="F524" s="12">
        <v>45680</v>
      </c>
      <c r="G524" s="12">
        <v>45680</v>
      </c>
      <c r="H524" t="s">
        <v>17</v>
      </c>
      <c r="I524" t="s">
        <v>18</v>
      </c>
      <c r="J524">
        <v>4</v>
      </c>
      <c r="K524" t="s">
        <v>19</v>
      </c>
      <c r="L524" t="s">
        <v>33</v>
      </c>
      <c r="M524">
        <v>0</v>
      </c>
      <c r="N524">
        <v>4</v>
      </c>
      <c r="O524" t="s">
        <v>2533</v>
      </c>
    </row>
    <row r="525" spans="1:15">
      <c r="A525" t="s">
        <v>687</v>
      </c>
      <c r="B525" t="s">
        <v>32</v>
      </c>
      <c r="C525">
        <v>2</v>
      </c>
      <c r="D525">
        <v>56.5</v>
      </c>
      <c r="E525">
        <v>113</v>
      </c>
      <c r="F525" s="12">
        <v>45683</v>
      </c>
      <c r="G525" s="12">
        <v>45687</v>
      </c>
      <c r="H525" t="s">
        <v>23</v>
      </c>
      <c r="I525" t="s">
        <v>40</v>
      </c>
      <c r="J525">
        <v>5</v>
      </c>
      <c r="K525" t="s">
        <v>19</v>
      </c>
      <c r="L525" t="s">
        <v>33</v>
      </c>
      <c r="M525">
        <v>4</v>
      </c>
      <c r="N525">
        <v>5</v>
      </c>
      <c r="O525" t="s">
        <v>2531</v>
      </c>
    </row>
    <row r="526" spans="1:15">
      <c r="A526" t="s">
        <v>686</v>
      </c>
      <c r="B526" t="s">
        <v>44</v>
      </c>
      <c r="C526">
        <v>2</v>
      </c>
      <c r="D526">
        <v>18.3</v>
      </c>
      <c r="E526">
        <v>36.6</v>
      </c>
      <c r="F526" s="12">
        <v>45683</v>
      </c>
      <c r="G526" s="12">
        <v>45684</v>
      </c>
      <c r="H526" t="s">
        <v>27</v>
      </c>
      <c r="I526" t="s">
        <v>35</v>
      </c>
      <c r="J526">
        <v>4</v>
      </c>
      <c r="K526" t="s">
        <v>19</v>
      </c>
      <c r="L526" t="s">
        <v>33</v>
      </c>
      <c r="M526">
        <v>1</v>
      </c>
      <c r="N526">
        <v>5</v>
      </c>
      <c r="O526" t="s">
        <v>2530</v>
      </c>
    </row>
    <row r="527" spans="1:15">
      <c r="A527" t="s">
        <v>616</v>
      </c>
      <c r="B527" t="s">
        <v>44</v>
      </c>
      <c r="C527">
        <v>2</v>
      </c>
      <c r="D527">
        <v>29.3</v>
      </c>
      <c r="E527">
        <v>58.6</v>
      </c>
      <c r="F527" s="12">
        <v>45680</v>
      </c>
      <c r="G527" s="12">
        <v>45681</v>
      </c>
      <c r="H527" t="s">
        <v>23</v>
      </c>
      <c r="I527" t="s">
        <v>35</v>
      </c>
      <c r="J527">
        <v>4</v>
      </c>
      <c r="K527" t="s">
        <v>19</v>
      </c>
      <c r="L527" t="s">
        <v>33</v>
      </c>
      <c r="M527">
        <v>1</v>
      </c>
      <c r="N527">
        <v>4</v>
      </c>
      <c r="O527" t="s">
        <v>2531</v>
      </c>
    </row>
    <row r="528" spans="1:15">
      <c r="A528" t="s">
        <v>685</v>
      </c>
      <c r="B528" t="s">
        <v>30</v>
      </c>
      <c r="C528">
        <v>2</v>
      </c>
      <c r="D528">
        <v>30.9</v>
      </c>
      <c r="E528">
        <v>61.8</v>
      </c>
      <c r="F528" s="12">
        <v>45683</v>
      </c>
      <c r="G528" s="12">
        <v>45683</v>
      </c>
      <c r="H528" t="s">
        <v>27</v>
      </c>
      <c r="I528" t="s">
        <v>40</v>
      </c>
      <c r="J528">
        <v>5</v>
      </c>
      <c r="K528" t="s">
        <v>19</v>
      </c>
      <c r="L528" t="s">
        <v>147</v>
      </c>
      <c r="M528">
        <v>0</v>
      </c>
      <c r="N528">
        <v>5</v>
      </c>
      <c r="O528" t="s">
        <v>2530</v>
      </c>
    </row>
    <row r="529" spans="1:15">
      <c r="A529" t="s">
        <v>618</v>
      </c>
      <c r="B529" t="s">
        <v>81</v>
      </c>
      <c r="C529">
        <v>2</v>
      </c>
      <c r="D529">
        <v>39.200000000000003</v>
      </c>
      <c r="E529">
        <v>78.400000000000006</v>
      </c>
      <c r="F529" s="12">
        <v>45680</v>
      </c>
      <c r="G529" s="12">
        <v>45682</v>
      </c>
      <c r="H529" t="s">
        <v>27</v>
      </c>
      <c r="I529" t="s">
        <v>35</v>
      </c>
      <c r="J529">
        <v>4</v>
      </c>
      <c r="K529" t="s">
        <v>19</v>
      </c>
      <c r="L529" t="s">
        <v>33</v>
      </c>
      <c r="M529">
        <v>2</v>
      </c>
      <c r="N529">
        <v>4</v>
      </c>
      <c r="O529" t="s">
        <v>2530</v>
      </c>
    </row>
    <row r="530" spans="1:15">
      <c r="A530" t="s">
        <v>684</v>
      </c>
      <c r="B530" t="s">
        <v>26</v>
      </c>
      <c r="C530">
        <v>2</v>
      </c>
      <c r="D530">
        <v>125.7</v>
      </c>
      <c r="E530">
        <v>251.4</v>
      </c>
      <c r="F530" s="12">
        <v>45683</v>
      </c>
      <c r="G530" s="12">
        <v>45684</v>
      </c>
      <c r="H530" t="s">
        <v>27</v>
      </c>
      <c r="I530" t="s">
        <v>51</v>
      </c>
      <c r="J530">
        <v>4</v>
      </c>
      <c r="K530" t="s">
        <v>19</v>
      </c>
      <c r="L530" t="s">
        <v>28</v>
      </c>
      <c r="M530">
        <v>1</v>
      </c>
      <c r="N530">
        <v>5</v>
      </c>
      <c r="O530" t="s">
        <v>2530</v>
      </c>
    </row>
    <row r="531" spans="1:15">
      <c r="A531" t="s">
        <v>620</v>
      </c>
      <c r="B531" t="s">
        <v>54</v>
      </c>
      <c r="C531">
        <v>2</v>
      </c>
      <c r="D531">
        <v>60.1</v>
      </c>
      <c r="E531">
        <v>120.2</v>
      </c>
      <c r="F531" s="12">
        <v>45680</v>
      </c>
      <c r="G531" s="12">
        <v>45681</v>
      </c>
      <c r="H531" t="s">
        <v>27</v>
      </c>
      <c r="I531" t="s">
        <v>51</v>
      </c>
      <c r="J531">
        <v>4</v>
      </c>
      <c r="K531" t="s">
        <v>19</v>
      </c>
      <c r="L531" t="s">
        <v>33</v>
      </c>
      <c r="M531">
        <v>1</v>
      </c>
      <c r="N531">
        <v>4</v>
      </c>
      <c r="O531" t="s">
        <v>2530</v>
      </c>
    </row>
    <row r="532" spans="1:15">
      <c r="A532" t="s">
        <v>663</v>
      </c>
      <c r="B532" t="s">
        <v>39</v>
      </c>
      <c r="C532">
        <v>2</v>
      </c>
      <c r="D532">
        <v>52.8</v>
      </c>
      <c r="E532">
        <v>105.6</v>
      </c>
      <c r="F532" s="12">
        <v>45682</v>
      </c>
      <c r="G532" s="12">
        <v>45683</v>
      </c>
      <c r="H532" t="s">
        <v>27</v>
      </c>
      <c r="I532" t="s">
        <v>35</v>
      </c>
      <c r="J532">
        <v>3</v>
      </c>
      <c r="K532" t="s">
        <v>19</v>
      </c>
      <c r="L532" t="s">
        <v>115</v>
      </c>
      <c r="M532">
        <v>1</v>
      </c>
      <c r="N532">
        <v>4</v>
      </c>
      <c r="O532" t="s">
        <v>2530</v>
      </c>
    </row>
    <row r="533" spans="1:15">
      <c r="A533" t="s">
        <v>622</v>
      </c>
      <c r="B533" t="s">
        <v>44</v>
      </c>
      <c r="C533">
        <v>2</v>
      </c>
      <c r="D533">
        <v>22.9</v>
      </c>
      <c r="E533">
        <v>45.8</v>
      </c>
      <c r="F533" s="12">
        <v>45680</v>
      </c>
      <c r="G533" s="12">
        <v>45681</v>
      </c>
      <c r="H533" t="s">
        <v>27</v>
      </c>
      <c r="I533" t="s">
        <v>18</v>
      </c>
      <c r="J533">
        <v>4</v>
      </c>
      <c r="K533" t="s">
        <v>19</v>
      </c>
      <c r="L533" t="s">
        <v>55</v>
      </c>
      <c r="M533">
        <v>1</v>
      </c>
      <c r="N533">
        <v>4</v>
      </c>
      <c r="O533" t="s">
        <v>2530</v>
      </c>
    </row>
    <row r="534" spans="1:15">
      <c r="A534" t="s">
        <v>623</v>
      </c>
      <c r="B534" t="s">
        <v>22</v>
      </c>
      <c r="C534">
        <v>2</v>
      </c>
      <c r="D534">
        <v>37.6</v>
      </c>
      <c r="E534">
        <v>75.2</v>
      </c>
      <c r="F534" s="12">
        <v>45680</v>
      </c>
      <c r="G534" s="12">
        <v>45683</v>
      </c>
      <c r="H534" t="s">
        <v>27</v>
      </c>
      <c r="I534" t="s">
        <v>18</v>
      </c>
      <c r="J534">
        <v>4</v>
      </c>
      <c r="K534" t="s">
        <v>19</v>
      </c>
      <c r="L534" t="s">
        <v>55</v>
      </c>
      <c r="M534">
        <v>3</v>
      </c>
      <c r="N534">
        <v>4</v>
      </c>
      <c r="O534" t="s">
        <v>2530</v>
      </c>
    </row>
    <row r="535" spans="1:15">
      <c r="A535" t="s">
        <v>662</v>
      </c>
      <c r="B535" t="s">
        <v>26</v>
      </c>
      <c r="C535">
        <v>2</v>
      </c>
      <c r="D535">
        <v>96.6</v>
      </c>
      <c r="E535">
        <v>193.2</v>
      </c>
      <c r="F535" s="12">
        <v>45682</v>
      </c>
      <c r="G535" s="12">
        <v>45684</v>
      </c>
      <c r="H535" t="s">
        <v>23</v>
      </c>
      <c r="I535" t="s">
        <v>18</v>
      </c>
      <c r="J535">
        <v>4</v>
      </c>
      <c r="K535" t="s">
        <v>19</v>
      </c>
      <c r="L535" t="s">
        <v>115</v>
      </c>
      <c r="M535">
        <v>2</v>
      </c>
      <c r="N535">
        <v>4</v>
      </c>
      <c r="O535" t="s">
        <v>2531</v>
      </c>
    </row>
    <row r="536" spans="1:15">
      <c r="A536" t="s">
        <v>625</v>
      </c>
      <c r="B536" t="s">
        <v>44</v>
      </c>
      <c r="C536">
        <v>2</v>
      </c>
      <c r="D536">
        <v>19.600000000000001</v>
      </c>
      <c r="E536">
        <v>39.200000000000003</v>
      </c>
      <c r="F536" s="12">
        <v>45680</v>
      </c>
      <c r="G536" s="12">
        <v>45684</v>
      </c>
      <c r="H536" t="s">
        <v>27</v>
      </c>
      <c r="I536" t="s">
        <v>40</v>
      </c>
      <c r="J536">
        <v>4</v>
      </c>
      <c r="K536" t="s">
        <v>19</v>
      </c>
      <c r="L536" t="s">
        <v>59</v>
      </c>
      <c r="M536">
        <v>4</v>
      </c>
      <c r="N536">
        <v>4</v>
      </c>
      <c r="O536" t="s">
        <v>2530</v>
      </c>
    </row>
    <row r="537" spans="1:15">
      <c r="A537" t="s">
        <v>655</v>
      </c>
      <c r="B537" t="s">
        <v>22</v>
      </c>
      <c r="C537">
        <v>2</v>
      </c>
      <c r="D537">
        <v>82.1</v>
      </c>
      <c r="E537">
        <v>164.2</v>
      </c>
      <c r="F537" s="12">
        <v>45682</v>
      </c>
      <c r="G537" s="12">
        <v>45685</v>
      </c>
      <c r="H537" t="s">
        <v>23</v>
      </c>
      <c r="I537" t="s">
        <v>35</v>
      </c>
      <c r="J537">
        <v>3</v>
      </c>
      <c r="K537" t="s">
        <v>19</v>
      </c>
      <c r="L537" t="s">
        <v>59</v>
      </c>
      <c r="M537">
        <v>3</v>
      </c>
      <c r="N537">
        <v>4</v>
      </c>
      <c r="O537" t="s">
        <v>2531</v>
      </c>
    </row>
    <row r="538" spans="1:15">
      <c r="A538" t="s">
        <v>654</v>
      </c>
      <c r="B538" t="s">
        <v>32</v>
      </c>
      <c r="C538">
        <v>2</v>
      </c>
      <c r="D538">
        <v>27.1</v>
      </c>
      <c r="E538">
        <v>54.2</v>
      </c>
      <c r="F538" s="12">
        <v>45681</v>
      </c>
      <c r="G538" s="12">
        <v>45684</v>
      </c>
      <c r="H538" t="s">
        <v>23</v>
      </c>
      <c r="I538" t="s">
        <v>40</v>
      </c>
      <c r="J538">
        <v>5</v>
      </c>
      <c r="K538" t="s">
        <v>19</v>
      </c>
      <c r="L538" t="s">
        <v>55</v>
      </c>
      <c r="M538">
        <v>3</v>
      </c>
      <c r="N538">
        <v>4</v>
      </c>
      <c r="O538" t="s">
        <v>2531</v>
      </c>
    </row>
    <row r="539" spans="1:15">
      <c r="A539" t="s">
        <v>628</v>
      </c>
      <c r="B539" t="s">
        <v>16</v>
      </c>
      <c r="C539">
        <v>2</v>
      </c>
      <c r="D539">
        <v>32.799999999999997</v>
      </c>
      <c r="E539">
        <v>65.599999999999994</v>
      </c>
      <c r="F539" s="12">
        <v>45680</v>
      </c>
      <c r="G539" s="12">
        <v>45682</v>
      </c>
      <c r="H539" t="s">
        <v>27</v>
      </c>
      <c r="I539" t="s">
        <v>70</v>
      </c>
      <c r="J539">
        <v>2</v>
      </c>
      <c r="K539" t="s">
        <v>19</v>
      </c>
      <c r="L539" t="s">
        <v>62</v>
      </c>
      <c r="M539">
        <v>2</v>
      </c>
      <c r="N539">
        <v>4</v>
      </c>
      <c r="O539" t="s">
        <v>2530</v>
      </c>
    </row>
    <row r="540" spans="1:15">
      <c r="A540" t="s">
        <v>653</v>
      </c>
      <c r="B540" t="s">
        <v>26</v>
      </c>
      <c r="C540">
        <v>2</v>
      </c>
      <c r="D540">
        <v>63.5</v>
      </c>
      <c r="E540">
        <v>127</v>
      </c>
      <c r="F540" s="12">
        <v>45681</v>
      </c>
      <c r="G540" s="12">
        <v>45683</v>
      </c>
      <c r="H540" t="s">
        <v>23</v>
      </c>
      <c r="I540" t="s">
        <v>35</v>
      </c>
      <c r="J540">
        <v>4</v>
      </c>
      <c r="K540" t="s">
        <v>19</v>
      </c>
      <c r="L540" t="s">
        <v>55</v>
      </c>
      <c r="M540">
        <v>2</v>
      </c>
      <c r="N540">
        <v>4</v>
      </c>
      <c r="O540" t="s">
        <v>2531</v>
      </c>
    </row>
    <row r="541" spans="1:15">
      <c r="A541" t="s">
        <v>649</v>
      </c>
      <c r="B541" t="s">
        <v>39</v>
      </c>
      <c r="C541">
        <v>2</v>
      </c>
      <c r="D541">
        <v>68.2</v>
      </c>
      <c r="E541">
        <v>136.4</v>
      </c>
      <c r="F541" s="12">
        <v>45681</v>
      </c>
      <c r="G541" s="12">
        <v>45683</v>
      </c>
      <c r="H541" t="s">
        <v>27</v>
      </c>
      <c r="I541" t="s">
        <v>51</v>
      </c>
      <c r="J541">
        <v>4</v>
      </c>
      <c r="K541" t="s">
        <v>19</v>
      </c>
      <c r="L541" t="s">
        <v>33</v>
      </c>
      <c r="M541">
        <v>2</v>
      </c>
      <c r="N541">
        <v>4</v>
      </c>
      <c r="O541" t="s">
        <v>2530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6" sqref="A6"/>
    </sheetView>
  </sheetViews>
  <sheetFormatPr defaultRowHeight="14"/>
  <cols>
    <col min="1" max="1" width="14.5" bestFit="1" customWidth="1"/>
    <col min="2" max="2" width="13.4140625" bestFit="1" customWidth="1"/>
  </cols>
  <sheetData>
    <row r="3" spans="1:2">
      <c r="A3" s="6" t="s">
        <v>2527</v>
      </c>
      <c r="B3" t="s">
        <v>2518</v>
      </c>
    </row>
    <row r="4" spans="1:2">
      <c r="A4" s="7">
        <v>1</v>
      </c>
      <c r="B4" s="5">
        <v>8</v>
      </c>
    </row>
    <row r="5" spans="1:2">
      <c r="A5" s="7">
        <v>2</v>
      </c>
      <c r="B5" s="5">
        <v>16</v>
      </c>
    </row>
    <row r="6" spans="1:2">
      <c r="A6" s="7">
        <v>3</v>
      </c>
      <c r="B6" s="5">
        <v>6</v>
      </c>
    </row>
    <row r="7" spans="1:2">
      <c r="A7" s="7">
        <v>4</v>
      </c>
      <c r="B7" s="5">
        <v>4</v>
      </c>
    </row>
    <row r="8" spans="1:2">
      <c r="A8" s="7">
        <v>5</v>
      </c>
      <c r="B8" s="5">
        <v>5</v>
      </c>
    </row>
    <row r="9" spans="1:2">
      <c r="A9" s="7" t="s">
        <v>2535</v>
      </c>
      <c r="B9" s="5">
        <v>5</v>
      </c>
    </row>
    <row r="10" spans="1:2">
      <c r="A10" s="7" t="s">
        <v>2536</v>
      </c>
      <c r="B10" s="5">
        <v>5</v>
      </c>
    </row>
    <row r="11" spans="1:2">
      <c r="A11" s="7" t="s">
        <v>2528</v>
      </c>
      <c r="B11" s="5">
        <v>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82"/>
  <sheetViews>
    <sheetView workbookViewId="0">
      <selection activeCell="D19" sqref="D19"/>
    </sheetView>
  </sheetViews>
  <sheetFormatPr defaultRowHeight="14"/>
  <cols>
    <col min="2" max="2" width="9.33203125" customWidth="1"/>
    <col min="3" max="3" width="9.6640625" customWidth="1"/>
    <col min="4" max="4" width="10.83203125" customWidth="1"/>
    <col min="5" max="5" width="9.25" customWidth="1"/>
    <col min="6" max="6" width="11.83203125" customWidth="1"/>
    <col min="7" max="7" width="10.83203125" customWidth="1"/>
    <col min="8" max="8" width="17.6640625" customWidth="1"/>
    <col min="9" max="9" width="12.5" customWidth="1"/>
    <col min="10" max="10" width="9.9140625" customWidth="1"/>
    <col min="13" max="13" width="15.4140625" customWidth="1"/>
    <col min="14" max="14" width="11.08203125" customWidth="1"/>
    <col min="15" max="15" width="14.0820312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2490</v>
      </c>
      <c r="B2" t="s">
        <v>26</v>
      </c>
      <c r="C2">
        <v>4</v>
      </c>
      <c r="D2">
        <v>103.6</v>
      </c>
      <c r="E2">
        <v>414.4</v>
      </c>
      <c r="F2" s="12">
        <v>45745</v>
      </c>
      <c r="G2" s="12">
        <v>45756</v>
      </c>
      <c r="H2" t="s">
        <v>23</v>
      </c>
      <c r="I2" t="s">
        <v>70</v>
      </c>
      <c r="J2">
        <v>5</v>
      </c>
      <c r="K2" t="s">
        <v>19</v>
      </c>
      <c r="L2" t="s">
        <v>33</v>
      </c>
      <c r="M2">
        <v>11</v>
      </c>
      <c r="N2">
        <v>13</v>
      </c>
      <c r="O2" t="s">
        <v>2531</v>
      </c>
    </row>
    <row r="3" spans="1:15">
      <c r="A3" t="s">
        <v>2489</v>
      </c>
      <c r="B3" t="s">
        <v>128</v>
      </c>
      <c r="C3">
        <v>1</v>
      </c>
      <c r="D3">
        <v>36.700000000000003</v>
      </c>
      <c r="E3">
        <v>36.700000000000003</v>
      </c>
      <c r="F3" s="12">
        <v>45745</v>
      </c>
      <c r="G3" s="12">
        <v>45746</v>
      </c>
      <c r="H3" t="s">
        <v>27</v>
      </c>
      <c r="I3" t="s">
        <v>18</v>
      </c>
      <c r="J3">
        <v>5</v>
      </c>
      <c r="K3" t="s">
        <v>19</v>
      </c>
      <c r="L3" t="s">
        <v>33</v>
      </c>
      <c r="M3">
        <v>1</v>
      </c>
      <c r="N3">
        <v>13</v>
      </c>
      <c r="O3" t="s">
        <v>2530</v>
      </c>
    </row>
    <row r="4" spans="1:15">
      <c r="A4" t="s">
        <v>2488</v>
      </c>
      <c r="B4" t="s">
        <v>39</v>
      </c>
      <c r="C4">
        <v>2</v>
      </c>
      <c r="D4">
        <v>56.5</v>
      </c>
      <c r="E4">
        <v>113</v>
      </c>
      <c r="F4" s="12">
        <v>45745</v>
      </c>
      <c r="G4" s="12">
        <v>45749</v>
      </c>
      <c r="H4" t="s">
        <v>23</v>
      </c>
      <c r="I4" t="s">
        <v>35</v>
      </c>
      <c r="J4">
        <v>3</v>
      </c>
      <c r="K4" t="s">
        <v>19</v>
      </c>
      <c r="L4" t="s">
        <v>33</v>
      </c>
      <c r="M4">
        <v>4</v>
      </c>
      <c r="N4">
        <v>13</v>
      </c>
      <c r="O4" t="s">
        <v>2531</v>
      </c>
    </row>
    <row r="5" spans="1:15">
      <c r="A5" t="s">
        <v>2487</v>
      </c>
      <c r="B5" t="s">
        <v>123</v>
      </c>
      <c r="C5">
        <v>4</v>
      </c>
      <c r="D5">
        <v>78.400000000000006</v>
      </c>
      <c r="E5">
        <v>313.60000000000002</v>
      </c>
      <c r="F5" s="12">
        <v>45745</v>
      </c>
      <c r="G5" s="12">
        <v>45746</v>
      </c>
      <c r="H5" t="s">
        <v>23</v>
      </c>
      <c r="I5" t="s">
        <v>40</v>
      </c>
      <c r="J5">
        <v>4</v>
      </c>
      <c r="K5" t="s">
        <v>19</v>
      </c>
      <c r="L5" t="s">
        <v>33</v>
      </c>
      <c r="M5">
        <v>1</v>
      </c>
      <c r="N5">
        <v>13</v>
      </c>
      <c r="O5" t="s">
        <v>2531</v>
      </c>
    </row>
    <row r="6" spans="1:15">
      <c r="A6" t="s">
        <v>31</v>
      </c>
      <c r="B6" t="s">
        <v>32</v>
      </c>
      <c r="C6">
        <v>3</v>
      </c>
      <c r="D6">
        <v>56.7</v>
      </c>
      <c r="E6">
        <v>170.10000000000002</v>
      </c>
      <c r="F6" s="12">
        <v>45658</v>
      </c>
      <c r="G6" s="12">
        <v>45661</v>
      </c>
      <c r="H6" t="s">
        <v>27</v>
      </c>
      <c r="I6" t="s">
        <v>18</v>
      </c>
      <c r="J6">
        <v>5</v>
      </c>
      <c r="K6" t="s">
        <v>19</v>
      </c>
      <c r="L6" t="s">
        <v>33</v>
      </c>
      <c r="M6">
        <v>3</v>
      </c>
      <c r="N6">
        <v>1</v>
      </c>
      <c r="O6" t="s">
        <v>2530</v>
      </c>
    </row>
    <row r="7" spans="1:15">
      <c r="A7" t="s">
        <v>34</v>
      </c>
      <c r="B7" t="s">
        <v>22</v>
      </c>
      <c r="C7">
        <v>12</v>
      </c>
      <c r="D7">
        <v>83.5</v>
      </c>
      <c r="E7">
        <v>1002</v>
      </c>
      <c r="F7" s="12">
        <v>45658</v>
      </c>
      <c r="G7" s="12">
        <v>45661</v>
      </c>
      <c r="H7" t="s">
        <v>23</v>
      </c>
      <c r="I7" t="s">
        <v>35</v>
      </c>
      <c r="J7">
        <v>4</v>
      </c>
      <c r="K7" t="s">
        <v>19</v>
      </c>
      <c r="L7" t="s">
        <v>33</v>
      </c>
      <c r="M7">
        <v>3</v>
      </c>
      <c r="N7">
        <v>1</v>
      </c>
      <c r="O7" t="s">
        <v>2531</v>
      </c>
    </row>
    <row r="8" spans="1:15">
      <c r="A8" t="s">
        <v>36</v>
      </c>
      <c r="B8" t="s">
        <v>37</v>
      </c>
      <c r="C8">
        <v>1</v>
      </c>
      <c r="D8">
        <v>55.3</v>
      </c>
      <c r="E8">
        <v>55.3</v>
      </c>
      <c r="F8" s="12">
        <v>45658</v>
      </c>
      <c r="G8" s="12">
        <v>45659</v>
      </c>
      <c r="H8" t="s">
        <v>27</v>
      </c>
      <c r="I8" t="s">
        <v>18</v>
      </c>
      <c r="J8">
        <v>4</v>
      </c>
      <c r="K8" t="s">
        <v>19</v>
      </c>
      <c r="L8" t="s">
        <v>33</v>
      </c>
      <c r="M8">
        <v>1</v>
      </c>
      <c r="N8">
        <v>1</v>
      </c>
      <c r="O8" t="s">
        <v>2530</v>
      </c>
    </row>
    <row r="9" spans="1:15">
      <c r="A9" t="s">
        <v>38</v>
      </c>
      <c r="B9" t="s">
        <v>39</v>
      </c>
      <c r="C9">
        <v>2</v>
      </c>
      <c r="D9">
        <v>40.299999999999997</v>
      </c>
      <c r="E9">
        <v>80.599999999999994</v>
      </c>
      <c r="F9" s="12">
        <v>45658</v>
      </c>
      <c r="G9" s="12">
        <v>45659</v>
      </c>
      <c r="H9" t="s">
        <v>23</v>
      </c>
      <c r="I9" t="s">
        <v>40</v>
      </c>
      <c r="J9">
        <v>5</v>
      </c>
      <c r="K9" t="s">
        <v>19</v>
      </c>
      <c r="L9" t="s">
        <v>33</v>
      </c>
      <c r="M9">
        <v>1</v>
      </c>
      <c r="N9">
        <v>1</v>
      </c>
      <c r="O9" t="s">
        <v>2531</v>
      </c>
    </row>
    <row r="10" spans="1:15">
      <c r="A10" t="s">
        <v>41</v>
      </c>
      <c r="B10" t="s">
        <v>42</v>
      </c>
      <c r="C10">
        <v>11</v>
      </c>
      <c r="D10">
        <v>35.700000000000003</v>
      </c>
      <c r="E10">
        <v>392.70000000000005</v>
      </c>
      <c r="F10" s="12">
        <v>45658</v>
      </c>
      <c r="G10" s="12">
        <v>45659</v>
      </c>
      <c r="H10" t="s">
        <v>27</v>
      </c>
      <c r="I10" t="s">
        <v>18</v>
      </c>
      <c r="J10">
        <v>4</v>
      </c>
      <c r="K10" t="s">
        <v>19</v>
      </c>
      <c r="L10" t="s">
        <v>33</v>
      </c>
      <c r="M10">
        <v>1</v>
      </c>
      <c r="N10">
        <v>1</v>
      </c>
      <c r="O10" t="s">
        <v>2530</v>
      </c>
    </row>
    <row r="11" spans="1:15">
      <c r="A11" t="s">
        <v>43</v>
      </c>
      <c r="B11" t="s">
        <v>44</v>
      </c>
      <c r="C11">
        <v>7</v>
      </c>
      <c r="D11">
        <v>22.4</v>
      </c>
      <c r="E11">
        <v>156.79999999999998</v>
      </c>
      <c r="F11" s="12">
        <v>45658</v>
      </c>
      <c r="G11" s="12">
        <v>45661</v>
      </c>
      <c r="H11" t="s">
        <v>23</v>
      </c>
      <c r="I11" t="s">
        <v>18</v>
      </c>
      <c r="J11">
        <v>3</v>
      </c>
      <c r="K11" t="s">
        <v>19</v>
      </c>
      <c r="L11" t="s">
        <v>33</v>
      </c>
      <c r="M11">
        <v>3</v>
      </c>
      <c r="N11">
        <v>1</v>
      </c>
      <c r="O11" t="s">
        <v>2531</v>
      </c>
    </row>
    <row r="12" spans="1:15">
      <c r="A12" t="s">
        <v>45</v>
      </c>
      <c r="B12" t="s">
        <v>46</v>
      </c>
      <c r="C12">
        <v>2</v>
      </c>
      <c r="D12">
        <v>54.4</v>
      </c>
      <c r="E12">
        <v>108.8</v>
      </c>
      <c r="F12" s="12">
        <v>45658</v>
      </c>
      <c r="G12" s="12">
        <v>45664</v>
      </c>
      <c r="H12" t="s">
        <v>27</v>
      </c>
      <c r="I12" t="s">
        <v>18</v>
      </c>
      <c r="J12">
        <v>4</v>
      </c>
      <c r="K12" t="s">
        <v>19</v>
      </c>
      <c r="L12" t="s">
        <v>33</v>
      </c>
      <c r="M12">
        <v>6</v>
      </c>
      <c r="N12">
        <v>1</v>
      </c>
      <c r="O12" t="s">
        <v>2530</v>
      </c>
    </row>
    <row r="13" spans="1:15">
      <c r="A13" t="s">
        <v>47</v>
      </c>
      <c r="B13" t="s">
        <v>46</v>
      </c>
      <c r="C13">
        <v>2</v>
      </c>
      <c r="D13">
        <v>49</v>
      </c>
      <c r="E13">
        <v>98</v>
      </c>
      <c r="F13" s="12">
        <v>45658</v>
      </c>
      <c r="G13" s="12">
        <v>45660</v>
      </c>
      <c r="H13" t="s">
        <v>27</v>
      </c>
      <c r="I13" t="s">
        <v>40</v>
      </c>
      <c r="J13">
        <v>3</v>
      </c>
      <c r="K13" t="s">
        <v>19</v>
      </c>
      <c r="L13" t="s">
        <v>33</v>
      </c>
      <c r="M13">
        <v>2</v>
      </c>
      <c r="N13">
        <v>1</v>
      </c>
      <c r="O13" t="s">
        <v>2530</v>
      </c>
    </row>
    <row r="14" spans="1:15">
      <c r="A14" t="s">
        <v>2486</v>
      </c>
      <c r="B14" t="s">
        <v>54</v>
      </c>
      <c r="C14">
        <v>2</v>
      </c>
      <c r="D14">
        <v>43.6</v>
      </c>
      <c r="E14">
        <v>87.2</v>
      </c>
      <c r="F14" s="12">
        <v>45745</v>
      </c>
      <c r="G14" s="12">
        <v>45746</v>
      </c>
      <c r="H14" t="s">
        <v>23</v>
      </c>
      <c r="I14" t="s">
        <v>35</v>
      </c>
      <c r="J14">
        <v>5</v>
      </c>
      <c r="K14" t="s">
        <v>19</v>
      </c>
      <c r="L14" t="s">
        <v>33</v>
      </c>
      <c r="M14">
        <v>1</v>
      </c>
      <c r="N14">
        <v>13</v>
      </c>
      <c r="O14" t="s">
        <v>2531</v>
      </c>
    </row>
    <row r="15" spans="1:15">
      <c r="A15" t="s">
        <v>2485</v>
      </c>
      <c r="B15" t="s">
        <v>46</v>
      </c>
      <c r="C15">
        <v>8</v>
      </c>
      <c r="D15">
        <v>32.9</v>
      </c>
      <c r="E15">
        <v>263.2</v>
      </c>
      <c r="F15" s="12">
        <v>45745</v>
      </c>
      <c r="G15" s="12">
        <v>45746</v>
      </c>
      <c r="H15" t="s">
        <v>17</v>
      </c>
      <c r="I15" t="s">
        <v>51</v>
      </c>
      <c r="J15">
        <v>5</v>
      </c>
      <c r="K15" t="s">
        <v>19</v>
      </c>
      <c r="L15" t="s">
        <v>33</v>
      </c>
      <c r="M15">
        <v>1</v>
      </c>
      <c r="N15">
        <v>13</v>
      </c>
      <c r="O15" t="s">
        <v>2533</v>
      </c>
    </row>
    <row r="16" spans="1:15">
      <c r="A16" t="s">
        <v>2484</v>
      </c>
      <c r="B16" t="s">
        <v>44</v>
      </c>
      <c r="C16">
        <v>5</v>
      </c>
      <c r="D16">
        <v>29.7</v>
      </c>
      <c r="E16">
        <v>148.5</v>
      </c>
      <c r="F16" s="12">
        <v>45745</v>
      </c>
      <c r="G16" s="12">
        <v>45747</v>
      </c>
      <c r="H16" t="s">
        <v>23</v>
      </c>
      <c r="I16" t="s">
        <v>51</v>
      </c>
      <c r="J16">
        <v>4</v>
      </c>
      <c r="K16" t="s">
        <v>19</v>
      </c>
      <c r="L16" t="s">
        <v>33</v>
      </c>
      <c r="M16">
        <v>2</v>
      </c>
      <c r="N16">
        <v>13</v>
      </c>
      <c r="O16" t="s">
        <v>2531</v>
      </c>
    </row>
    <row r="17" spans="1:15">
      <c r="A17" t="s">
        <v>2483</v>
      </c>
      <c r="B17" t="s">
        <v>37</v>
      </c>
      <c r="C17">
        <v>3</v>
      </c>
      <c r="D17">
        <v>25.3</v>
      </c>
      <c r="E17">
        <v>75.900000000000006</v>
      </c>
      <c r="F17" s="12">
        <v>45745</v>
      </c>
      <c r="G17" s="12">
        <v>45748</v>
      </c>
      <c r="H17" t="s">
        <v>27</v>
      </c>
      <c r="I17" t="s">
        <v>40</v>
      </c>
      <c r="J17">
        <v>4</v>
      </c>
      <c r="K17" t="s">
        <v>19</v>
      </c>
      <c r="L17" t="s">
        <v>33</v>
      </c>
      <c r="M17">
        <v>3</v>
      </c>
      <c r="N17">
        <v>13</v>
      </c>
      <c r="O17" t="s">
        <v>2530</v>
      </c>
    </row>
    <row r="18" spans="1:15">
      <c r="A18" t="s">
        <v>2464</v>
      </c>
      <c r="B18" t="s">
        <v>26</v>
      </c>
      <c r="C18">
        <v>7</v>
      </c>
      <c r="D18">
        <v>94.1</v>
      </c>
      <c r="E18">
        <v>658.69999999999993</v>
      </c>
      <c r="F18" s="12">
        <v>45744</v>
      </c>
      <c r="G18" s="12">
        <v>45746</v>
      </c>
      <c r="H18" t="s">
        <v>27</v>
      </c>
      <c r="I18" t="s">
        <v>70</v>
      </c>
      <c r="J18">
        <v>3</v>
      </c>
      <c r="K18" t="s">
        <v>19</v>
      </c>
      <c r="L18" t="s">
        <v>33</v>
      </c>
      <c r="M18">
        <v>2</v>
      </c>
      <c r="N18">
        <v>13</v>
      </c>
      <c r="O18" t="s">
        <v>2530</v>
      </c>
    </row>
    <row r="19" spans="1:15">
      <c r="A19" t="s">
        <v>2463</v>
      </c>
      <c r="B19" t="s">
        <v>44</v>
      </c>
      <c r="C19">
        <v>6</v>
      </c>
      <c r="D19">
        <v>60.1</v>
      </c>
      <c r="E19">
        <v>360.6</v>
      </c>
      <c r="F19" s="12">
        <v>45744</v>
      </c>
      <c r="G19" s="12">
        <v>45745</v>
      </c>
      <c r="H19" t="s">
        <v>23</v>
      </c>
      <c r="I19" t="s">
        <v>51</v>
      </c>
      <c r="J19">
        <v>4</v>
      </c>
      <c r="K19" t="s">
        <v>19</v>
      </c>
      <c r="L19" t="s">
        <v>33</v>
      </c>
      <c r="M19">
        <v>1</v>
      </c>
      <c r="N19">
        <v>13</v>
      </c>
      <c r="O19" t="s">
        <v>2531</v>
      </c>
    </row>
    <row r="20" spans="1:15">
      <c r="A20" t="s">
        <v>2462</v>
      </c>
      <c r="B20" t="s">
        <v>44</v>
      </c>
      <c r="C20">
        <v>5</v>
      </c>
      <c r="D20">
        <v>27</v>
      </c>
      <c r="E20">
        <v>135</v>
      </c>
      <c r="F20" s="12">
        <v>45744</v>
      </c>
      <c r="G20" s="12">
        <v>45747</v>
      </c>
      <c r="H20" t="s">
        <v>27</v>
      </c>
      <c r="I20" t="s">
        <v>40</v>
      </c>
      <c r="J20">
        <v>5</v>
      </c>
      <c r="K20" t="s">
        <v>19</v>
      </c>
      <c r="L20" t="s">
        <v>33</v>
      </c>
      <c r="M20">
        <v>3</v>
      </c>
      <c r="N20">
        <v>13</v>
      </c>
      <c r="O20" t="s">
        <v>2530</v>
      </c>
    </row>
    <row r="21" spans="1:15">
      <c r="A21" t="s">
        <v>2461</v>
      </c>
      <c r="B21" t="s">
        <v>46</v>
      </c>
      <c r="C21">
        <v>4</v>
      </c>
      <c r="D21">
        <v>73.8</v>
      </c>
      <c r="E21">
        <v>295.2</v>
      </c>
      <c r="F21" s="12">
        <v>45744</v>
      </c>
      <c r="G21" s="12">
        <v>45745</v>
      </c>
      <c r="H21" t="s">
        <v>23</v>
      </c>
      <c r="I21" t="s">
        <v>70</v>
      </c>
      <c r="J21">
        <v>4</v>
      </c>
      <c r="K21" t="s">
        <v>19</v>
      </c>
      <c r="L21" t="s">
        <v>33</v>
      </c>
      <c r="M21">
        <v>1</v>
      </c>
      <c r="N21">
        <v>13</v>
      </c>
      <c r="O21" t="s">
        <v>2531</v>
      </c>
    </row>
    <row r="22" spans="1:15">
      <c r="A22" t="s">
        <v>2460</v>
      </c>
      <c r="B22" t="s">
        <v>128</v>
      </c>
      <c r="C22">
        <v>9</v>
      </c>
      <c r="D22">
        <v>51.1</v>
      </c>
      <c r="E22">
        <v>459.90000000000003</v>
      </c>
      <c r="F22" s="12">
        <v>45744</v>
      </c>
      <c r="G22" s="12">
        <v>45745</v>
      </c>
      <c r="H22" t="s">
        <v>23</v>
      </c>
      <c r="I22" t="s">
        <v>40</v>
      </c>
      <c r="J22">
        <v>3</v>
      </c>
      <c r="K22" t="s">
        <v>19</v>
      </c>
      <c r="L22" t="s">
        <v>33</v>
      </c>
      <c r="M22">
        <v>1</v>
      </c>
      <c r="N22">
        <v>13</v>
      </c>
      <c r="O22" t="s">
        <v>2531</v>
      </c>
    </row>
    <row r="23" spans="1:15">
      <c r="A23" t="s">
        <v>2443</v>
      </c>
      <c r="B23" t="s">
        <v>44</v>
      </c>
      <c r="C23">
        <v>10</v>
      </c>
      <c r="D23">
        <v>46.2</v>
      </c>
      <c r="E23">
        <v>462</v>
      </c>
      <c r="F23" s="12">
        <v>45743</v>
      </c>
      <c r="G23" s="12">
        <v>45745</v>
      </c>
      <c r="H23" t="s">
        <v>23</v>
      </c>
      <c r="I23" t="s">
        <v>35</v>
      </c>
      <c r="J23">
        <v>5</v>
      </c>
      <c r="K23" t="s">
        <v>19</v>
      </c>
      <c r="L23" t="s">
        <v>33</v>
      </c>
      <c r="M23">
        <v>2</v>
      </c>
      <c r="N23">
        <v>13</v>
      </c>
      <c r="O23" t="s">
        <v>2531</v>
      </c>
    </row>
    <row r="24" spans="1:15">
      <c r="A24" t="s">
        <v>2442</v>
      </c>
      <c r="B24" t="s">
        <v>42</v>
      </c>
      <c r="C24">
        <v>7</v>
      </c>
      <c r="D24">
        <v>51.8</v>
      </c>
      <c r="E24">
        <v>362.59999999999997</v>
      </c>
      <c r="F24" s="12">
        <v>45743</v>
      </c>
      <c r="G24" s="12">
        <v>45744</v>
      </c>
      <c r="H24" t="s">
        <v>23</v>
      </c>
      <c r="I24" t="s">
        <v>18</v>
      </c>
      <c r="J24">
        <v>4</v>
      </c>
      <c r="K24" t="s">
        <v>19</v>
      </c>
      <c r="L24" t="s">
        <v>33</v>
      </c>
      <c r="M24">
        <v>1</v>
      </c>
      <c r="N24">
        <v>13</v>
      </c>
      <c r="O24" t="s">
        <v>2531</v>
      </c>
    </row>
    <row r="25" spans="1:15">
      <c r="A25" t="s">
        <v>2441</v>
      </c>
      <c r="B25" t="s">
        <v>37</v>
      </c>
      <c r="C25">
        <v>2</v>
      </c>
      <c r="D25">
        <v>61.6</v>
      </c>
      <c r="E25">
        <v>123.2</v>
      </c>
      <c r="F25" s="12">
        <v>45743</v>
      </c>
      <c r="G25" s="12">
        <v>45747</v>
      </c>
      <c r="H25" t="s">
        <v>23</v>
      </c>
      <c r="I25" t="s">
        <v>51</v>
      </c>
      <c r="J25">
        <v>3</v>
      </c>
      <c r="K25" t="s">
        <v>19</v>
      </c>
      <c r="L25" t="s">
        <v>33</v>
      </c>
      <c r="M25">
        <v>4</v>
      </c>
      <c r="N25">
        <v>13</v>
      </c>
      <c r="O25" t="s">
        <v>2531</v>
      </c>
    </row>
    <row r="26" spans="1:15">
      <c r="A26" t="s">
        <v>2440</v>
      </c>
      <c r="B26" t="s">
        <v>46</v>
      </c>
      <c r="C26">
        <v>2</v>
      </c>
      <c r="D26">
        <v>68.7</v>
      </c>
      <c r="E26">
        <v>137.4</v>
      </c>
      <c r="F26" s="12">
        <v>45743</v>
      </c>
      <c r="G26" s="12">
        <v>45743</v>
      </c>
      <c r="H26" t="s">
        <v>23</v>
      </c>
      <c r="I26" t="s">
        <v>18</v>
      </c>
      <c r="J26">
        <v>4</v>
      </c>
      <c r="K26" t="s">
        <v>19</v>
      </c>
      <c r="L26" t="s">
        <v>33</v>
      </c>
      <c r="M26">
        <v>0</v>
      </c>
      <c r="N26">
        <v>13</v>
      </c>
      <c r="O26" t="s">
        <v>2531</v>
      </c>
    </row>
    <row r="27" spans="1:15">
      <c r="A27" t="s">
        <v>2439</v>
      </c>
      <c r="B27" t="s">
        <v>39</v>
      </c>
      <c r="C27">
        <v>1</v>
      </c>
      <c r="D27">
        <v>44</v>
      </c>
      <c r="E27">
        <v>44</v>
      </c>
      <c r="F27" s="12">
        <v>45743</v>
      </c>
      <c r="G27" s="12">
        <v>45744</v>
      </c>
      <c r="H27" t="s">
        <v>27</v>
      </c>
      <c r="I27" t="s">
        <v>40</v>
      </c>
      <c r="J27">
        <v>5</v>
      </c>
      <c r="K27" t="s">
        <v>19</v>
      </c>
      <c r="L27" t="s">
        <v>33</v>
      </c>
      <c r="M27">
        <v>1</v>
      </c>
      <c r="N27">
        <v>13</v>
      </c>
      <c r="O27" t="s">
        <v>2530</v>
      </c>
    </row>
    <row r="28" spans="1:15">
      <c r="A28" t="s">
        <v>2438</v>
      </c>
      <c r="B28" t="s">
        <v>39</v>
      </c>
      <c r="C28">
        <v>5</v>
      </c>
      <c r="D28">
        <v>59.9</v>
      </c>
      <c r="E28">
        <v>299.5</v>
      </c>
      <c r="F28" s="12">
        <v>45743</v>
      </c>
      <c r="G28" s="12">
        <v>45745</v>
      </c>
      <c r="H28" t="s">
        <v>23</v>
      </c>
      <c r="I28" t="s">
        <v>18</v>
      </c>
      <c r="J28">
        <v>4</v>
      </c>
      <c r="K28" t="s">
        <v>19</v>
      </c>
      <c r="L28" t="s">
        <v>33</v>
      </c>
      <c r="M28">
        <v>2</v>
      </c>
      <c r="N28">
        <v>13</v>
      </c>
      <c r="O28" t="s">
        <v>2531</v>
      </c>
    </row>
    <row r="29" spans="1:15">
      <c r="A29" t="s">
        <v>2437</v>
      </c>
      <c r="B29" t="s">
        <v>76</v>
      </c>
      <c r="C29">
        <v>1</v>
      </c>
      <c r="D29">
        <v>55.2</v>
      </c>
      <c r="E29">
        <v>55.2</v>
      </c>
      <c r="F29" s="12">
        <v>45743</v>
      </c>
      <c r="G29" s="12">
        <v>45745</v>
      </c>
      <c r="H29" t="s">
        <v>23</v>
      </c>
      <c r="I29" t="s">
        <v>51</v>
      </c>
      <c r="J29">
        <v>4</v>
      </c>
      <c r="K29" t="s">
        <v>19</v>
      </c>
      <c r="L29" t="s">
        <v>33</v>
      </c>
      <c r="M29">
        <v>2</v>
      </c>
      <c r="N29">
        <v>13</v>
      </c>
      <c r="O29" t="s">
        <v>2531</v>
      </c>
    </row>
    <row r="30" spans="1:15">
      <c r="A30" t="s">
        <v>2436</v>
      </c>
      <c r="B30" t="s">
        <v>37</v>
      </c>
      <c r="C30">
        <v>3</v>
      </c>
      <c r="D30">
        <v>36.6</v>
      </c>
      <c r="E30">
        <v>109.80000000000001</v>
      </c>
      <c r="F30" s="12">
        <v>45743</v>
      </c>
      <c r="G30" s="12">
        <v>45745</v>
      </c>
      <c r="H30" t="s">
        <v>27</v>
      </c>
      <c r="I30" t="s">
        <v>70</v>
      </c>
      <c r="J30">
        <v>4</v>
      </c>
      <c r="K30" t="s">
        <v>19</v>
      </c>
      <c r="L30" t="s">
        <v>33</v>
      </c>
      <c r="M30">
        <v>2</v>
      </c>
      <c r="N30">
        <v>13</v>
      </c>
      <c r="O30" t="s">
        <v>2530</v>
      </c>
    </row>
    <row r="31" spans="1:15">
      <c r="A31" t="s">
        <v>2435</v>
      </c>
      <c r="B31" t="s">
        <v>44</v>
      </c>
      <c r="C31">
        <v>14</v>
      </c>
      <c r="D31">
        <v>37.6</v>
      </c>
      <c r="E31">
        <v>526.4</v>
      </c>
      <c r="F31" s="12">
        <v>45743</v>
      </c>
      <c r="G31" s="12">
        <v>45745</v>
      </c>
      <c r="H31" t="s">
        <v>23</v>
      </c>
      <c r="I31" t="s">
        <v>35</v>
      </c>
      <c r="J31">
        <v>4</v>
      </c>
      <c r="K31" t="s">
        <v>19</v>
      </c>
      <c r="L31" t="s">
        <v>33</v>
      </c>
      <c r="M31">
        <v>2</v>
      </c>
      <c r="N31">
        <v>13</v>
      </c>
      <c r="O31" t="s">
        <v>2531</v>
      </c>
    </row>
    <row r="32" spans="1:15">
      <c r="A32" t="s">
        <v>2421</v>
      </c>
      <c r="B32" t="s">
        <v>44</v>
      </c>
      <c r="C32">
        <v>2</v>
      </c>
      <c r="D32">
        <v>26</v>
      </c>
      <c r="E32">
        <v>52</v>
      </c>
      <c r="F32" s="12">
        <v>45743</v>
      </c>
      <c r="G32" s="12">
        <v>45743</v>
      </c>
      <c r="H32" t="s">
        <v>17</v>
      </c>
      <c r="I32" t="s">
        <v>18</v>
      </c>
      <c r="J32">
        <v>3</v>
      </c>
      <c r="K32" t="s">
        <v>19</v>
      </c>
      <c r="L32" t="s">
        <v>33</v>
      </c>
      <c r="M32">
        <v>0</v>
      </c>
      <c r="N32">
        <v>13</v>
      </c>
      <c r="O32" t="s">
        <v>2533</v>
      </c>
    </row>
    <row r="33" spans="1:15">
      <c r="A33" t="s">
        <v>2420</v>
      </c>
      <c r="B33" t="s">
        <v>39</v>
      </c>
      <c r="C33">
        <v>23</v>
      </c>
      <c r="D33">
        <v>152.6</v>
      </c>
      <c r="E33">
        <v>3509.7999999999997</v>
      </c>
      <c r="F33" s="12">
        <v>45743</v>
      </c>
      <c r="G33" s="12">
        <v>45745</v>
      </c>
      <c r="H33" t="s">
        <v>17</v>
      </c>
      <c r="I33" t="s">
        <v>18</v>
      </c>
      <c r="J33">
        <v>4</v>
      </c>
      <c r="K33" t="s">
        <v>19</v>
      </c>
      <c r="L33" t="s">
        <v>33</v>
      </c>
      <c r="M33">
        <v>2</v>
      </c>
      <c r="N33">
        <v>13</v>
      </c>
      <c r="O33" t="s">
        <v>2533</v>
      </c>
    </row>
    <row r="34" spans="1:15">
      <c r="A34" t="s">
        <v>87</v>
      </c>
      <c r="B34" t="s">
        <v>32</v>
      </c>
      <c r="C34">
        <v>3</v>
      </c>
      <c r="D34">
        <v>29.9</v>
      </c>
      <c r="E34">
        <v>89.699999999999989</v>
      </c>
      <c r="F34" s="12">
        <v>45658</v>
      </c>
      <c r="G34" s="12">
        <v>45659</v>
      </c>
      <c r="H34" t="s">
        <v>23</v>
      </c>
      <c r="I34" t="s">
        <v>51</v>
      </c>
      <c r="J34">
        <v>4</v>
      </c>
      <c r="K34" t="s">
        <v>19</v>
      </c>
      <c r="L34" t="s">
        <v>33</v>
      </c>
      <c r="M34">
        <v>1</v>
      </c>
      <c r="N34">
        <v>1</v>
      </c>
      <c r="O34" t="s">
        <v>2531</v>
      </c>
    </row>
    <row r="35" spans="1:15">
      <c r="A35" t="s">
        <v>88</v>
      </c>
      <c r="B35" t="s">
        <v>54</v>
      </c>
      <c r="C35">
        <v>6</v>
      </c>
      <c r="D35">
        <v>21.7</v>
      </c>
      <c r="E35">
        <v>130.19999999999999</v>
      </c>
      <c r="F35" s="12">
        <v>45658</v>
      </c>
      <c r="G35" s="12">
        <v>45660</v>
      </c>
      <c r="H35" t="s">
        <v>89</v>
      </c>
      <c r="I35" t="s">
        <v>40</v>
      </c>
      <c r="J35">
        <v>5</v>
      </c>
      <c r="K35" t="s">
        <v>19</v>
      </c>
      <c r="L35" t="s">
        <v>33</v>
      </c>
      <c r="M35">
        <v>2</v>
      </c>
      <c r="N35">
        <v>1</v>
      </c>
      <c r="O35" t="s">
        <v>2532</v>
      </c>
    </row>
    <row r="36" spans="1:15">
      <c r="A36" t="s">
        <v>90</v>
      </c>
      <c r="B36" t="s">
        <v>67</v>
      </c>
      <c r="C36">
        <v>2</v>
      </c>
      <c r="D36">
        <v>32</v>
      </c>
      <c r="E36">
        <v>64</v>
      </c>
      <c r="F36" s="12">
        <v>45658</v>
      </c>
      <c r="G36" s="12">
        <v>45661</v>
      </c>
      <c r="H36" t="s">
        <v>23</v>
      </c>
      <c r="I36" t="s">
        <v>18</v>
      </c>
      <c r="J36">
        <v>5</v>
      </c>
      <c r="K36" t="s">
        <v>19</v>
      </c>
      <c r="L36" t="s">
        <v>33</v>
      </c>
      <c r="M36">
        <v>3</v>
      </c>
      <c r="N36">
        <v>1</v>
      </c>
      <c r="O36" t="s">
        <v>2531</v>
      </c>
    </row>
    <row r="37" spans="1:15">
      <c r="A37" t="s">
        <v>91</v>
      </c>
      <c r="B37" t="s">
        <v>44</v>
      </c>
      <c r="C37">
        <v>2</v>
      </c>
      <c r="D37">
        <v>15.8</v>
      </c>
      <c r="E37">
        <v>31.6</v>
      </c>
      <c r="F37" s="12">
        <v>45658</v>
      </c>
      <c r="G37" s="12">
        <v>45659</v>
      </c>
      <c r="H37" t="s">
        <v>23</v>
      </c>
      <c r="I37" t="s">
        <v>70</v>
      </c>
      <c r="J37">
        <v>5</v>
      </c>
      <c r="K37" t="s">
        <v>19</v>
      </c>
      <c r="L37" t="s">
        <v>33</v>
      </c>
      <c r="M37">
        <v>1</v>
      </c>
      <c r="N37">
        <v>1</v>
      </c>
      <c r="O37" t="s">
        <v>2531</v>
      </c>
    </row>
    <row r="38" spans="1:15">
      <c r="A38" t="s">
        <v>92</v>
      </c>
      <c r="B38" t="s">
        <v>26</v>
      </c>
      <c r="C38">
        <v>17</v>
      </c>
      <c r="D38">
        <v>203.1</v>
      </c>
      <c r="E38">
        <v>3452.7</v>
      </c>
      <c r="F38" s="12">
        <v>45658</v>
      </c>
      <c r="G38" s="12">
        <v>45662</v>
      </c>
      <c r="H38" t="s">
        <v>23</v>
      </c>
      <c r="I38" t="s">
        <v>51</v>
      </c>
      <c r="J38">
        <v>3</v>
      </c>
      <c r="K38" t="s">
        <v>19</v>
      </c>
      <c r="L38" t="s">
        <v>33</v>
      </c>
      <c r="M38">
        <v>4</v>
      </c>
      <c r="N38">
        <v>1</v>
      </c>
      <c r="O38" t="s">
        <v>2531</v>
      </c>
    </row>
    <row r="39" spans="1:15">
      <c r="A39" t="s">
        <v>93</v>
      </c>
      <c r="B39" t="s">
        <v>42</v>
      </c>
      <c r="C39">
        <v>13</v>
      </c>
      <c r="D39">
        <v>39</v>
      </c>
      <c r="E39">
        <v>507</v>
      </c>
      <c r="F39" s="12">
        <v>45658</v>
      </c>
      <c r="G39" s="12">
        <v>45664</v>
      </c>
      <c r="H39" t="s">
        <v>23</v>
      </c>
      <c r="I39" t="s">
        <v>18</v>
      </c>
      <c r="J39">
        <v>5</v>
      </c>
      <c r="K39" t="s">
        <v>19</v>
      </c>
      <c r="L39" t="s">
        <v>33</v>
      </c>
      <c r="M39">
        <v>6</v>
      </c>
      <c r="N39">
        <v>1</v>
      </c>
      <c r="O39" t="s">
        <v>2531</v>
      </c>
    </row>
    <row r="40" spans="1:15">
      <c r="A40" t="s">
        <v>94</v>
      </c>
      <c r="B40" t="s">
        <v>54</v>
      </c>
      <c r="C40">
        <v>1</v>
      </c>
      <c r="D40">
        <v>26.5</v>
      </c>
      <c r="E40">
        <v>26.5</v>
      </c>
      <c r="F40" s="12">
        <v>45659</v>
      </c>
      <c r="G40" s="12">
        <v>45660</v>
      </c>
      <c r="H40" t="s">
        <v>23</v>
      </c>
      <c r="I40" t="s">
        <v>40</v>
      </c>
      <c r="J40">
        <v>4</v>
      </c>
      <c r="K40" t="s">
        <v>19</v>
      </c>
      <c r="L40" t="s">
        <v>33</v>
      </c>
      <c r="M40">
        <v>1</v>
      </c>
      <c r="N40">
        <v>1</v>
      </c>
      <c r="O40" t="s">
        <v>2531</v>
      </c>
    </row>
    <row r="41" spans="1:15">
      <c r="A41" t="s">
        <v>95</v>
      </c>
      <c r="B41" t="s">
        <v>37</v>
      </c>
      <c r="C41">
        <v>1</v>
      </c>
      <c r="D41">
        <v>43.1</v>
      </c>
      <c r="E41">
        <v>43.1</v>
      </c>
      <c r="F41" s="12">
        <v>45659</v>
      </c>
      <c r="G41" s="12">
        <v>45660</v>
      </c>
      <c r="H41" t="s">
        <v>27</v>
      </c>
      <c r="I41" t="s">
        <v>40</v>
      </c>
      <c r="J41">
        <v>3</v>
      </c>
      <c r="K41" t="s">
        <v>19</v>
      </c>
      <c r="L41" t="s">
        <v>33</v>
      </c>
      <c r="M41">
        <v>1</v>
      </c>
      <c r="N41">
        <v>1</v>
      </c>
      <c r="O41" t="s">
        <v>2530</v>
      </c>
    </row>
    <row r="42" spans="1:15">
      <c r="A42" t="s">
        <v>96</v>
      </c>
      <c r="B42" t="s">
        <v>22</v>
      </c>
      <c r="C42">
        <v>3</v>
      </c>
      <c r="D42">
        <v>139</v>
      </c>
      <c r="E42">
        <v>417</v>
      </c>
      <c r="F42" s="12">
        <v>45659</v>
      </c>
      <c r="G42" s="12">
        <v>45660</v>
      </c>
      <c r="H42" t="s">
        <v>27</v>
      </c>
      <c r="I42" t="s">
        <v>70</v>
      </c>
      <c r="J42">
        <v>5</v>
      </c>
      <c r="K42" t="s">
        <v>19</v>
      </c>
      <c r="L42" t="s">
        <v>33</v>
      </c>
      <c r="M42">
        <v>1</v>
      </c>
      <c r="N42">
        <v>1</v>
      </c>
      <c r="O42" t="s">
        <v>2530</v>
      </c>
    </row>
    <row r="43" spans="1:15">
      <c r="A43" t="s">
        <v>2419</v>
      </c>
      <c r="B43" t="s">
        <v>32</v>
      </c>
      <c r="C43">
        <v>11</v>
      </c>
      <c r="D43">
        <v>58.3</v>
      </c>
      <c r="E43">
        <v>641.29999999999995</v>
      </c>
      <c r="F43" s="12">
        <v>45742</v>
      </c>
      <c r="G43" s="12">
        <v>45744</v>
      </c>
      <c r="H43" t="s">
        <v>23</v>
      </c>
      <c r="I43" t="s">
        <v>35</v>
      </c>
      <c r="J43">
        <v>5</v>
      </c>
      <c r="K43" t="s">
        <v>19</v>
      </c>
      <c r="L43" t="s">
        <v>33</v>
      </c>
      <c r="M43">
        <v>2</v>
      </c>
      <c r="N43">
        <v>13</v>
      </c>
      <c r="O43" t="s">
        <v>2531</v>
      </c>
    </row>
    <row r="44" spans="1:15">
      <c r="A44" t="s">
        <v>2418</v>
      </c>
      <c r="B44" t="s">
        <v>22</v>
      </c>
      <c r="C44">
        <v>2</v>
      </c>
      <c r="D44">
        <v>92.4</v>
      </c>
      <c r="E44">
        <v>184.8</v>
      </c>
      <c r="F44" s="12">
        <v>45742</v>
      </c>
      <c r="G44" s="12">
        <v>45748</v>
      </c>
      <c r="H44" t="s">
        <v>27</v>
      </c>
      <c r="I44" t="s">
        <v>18</v>
      </c>
      <c r="J44">
        <v>5</v>
      </c>
      <c r="K44" t="s">
        <v>19</v>
      </c>
      <c r="L44" t="s">
        <v>33</v>
      </c>
      <c r="M44">
        <v>6</v>
      </c>
      <c r="N44">
        <v>13</v>
      </c>
      <c r="O44" t="s">
        <v>2530</v>
      </c>
    </row>
    <row r="45" spans="1:15">
      <c r="A45" t="s">
        <v>2417</v>
      </c>
      <c r="B45" t="s">
        <v>128</v>
      </c>
      <c r="C45">
        <v>1</v>
      </c>
      <c r="D45">
        <v>52.5</v>
      </c>
      <c r="E45">
        <v>52.5</v>
      </c>
      <c r="F45" s="12">
        <v>45742</v>
      </c>
      <c r="G45" s="12">
        <v>45743</v>
      </c>
      <c r="H45" t="s">
        <v>27</v>
      </c>
      <c r="I45" t="s">
        <v>18</v>
      </c>
      <c r="J45">
        <v>4</v>
      </c>
      <c r="K45" t="s">
        <v>19</v>
      </c>
      <c r="L45" t="s">
        <v>33</v>
      </c>
      <c r="M45">
        <v>1</v>
      </c>
      <c r="N45">
        <v>13</v>
      </c>
      <c r="O45" t="s">
        <v>2530</v>
      </c>
    </row>
    <row r="46" spans="1:15">
      <c r="A46" t="s">
        <v>2416</v>
      </c>
      <c r="B46" t="s">
        <v>32</v>
      </c>
      <c r="C46">
        <v>16</v>
      </c>
      <c r="D46">
        <v>21.3</v>
      </c>
      <c r="E46">
        <v>340.8</v>
      </c>
      <c r="F46" s="12">
        <v>45742</v>
      </c>
      <c r="G46" s="12">
        <v>45746</v>
      </c>
      <c r="H46" t="s">
        <v>27</v>
      </c>
      <c r="I46" t="s">
        <v>51</v>
      </c>
      <c r="J46">
        <v>1</v>
      </c>
      <c r="K46" t="s">
        <v>19</v>
      </c>
      <c r="L46" t="s">
        <v>33</v>
      </c>
      <c r="M46">
        <v>4</v>
      </c>
      <c r="N46">
        <v>13</v>
      </c>
      <c r="O46" t="s">
        <v>2530</v>
      </c>
    </row>
    <row r="47" spans="1:15">
      <c r="A47" t="s">
        <v>2415</v>
      </c>
      <c r="B47" t="s">
        <v>42</v>
      </c>
      <c r="C47">
        <v>3</v>
      </c>
      <c r="D47">
        <v>48.8</v>
      </c>
      <c r="E47">
        <v>146.39999999999998</v>
      </c>
      <c r="F47" s="12">
        <v>45742</v>
      </c>
      <c r="G47" s="12">
        <v>45744</v>
      </c>
      <c r="H47" t="s">
        <v>27</v>
      </c>
      <c r="I47" t="s">
        <v>40</v>
      </c>
      <c r="J47">
        <v>4</v>
      </c>
      <c r="K47" t="s">
        <v>19</v>
      </c>
      <c r="L47" t="s">
        <v>33</v>
      </c>
      <c r="M47">
        <v>2</v>
      </c>
      <c r="N47">
        <v>13</v>
      </c>
      <c r="O47" t="s">
        <v>2530</v>
      </c>
    </row>
    <row r="48" spans="1:15">
      <c r="A48" t="s">
        <v>2414</v>
      </c>
      <c r="B48" t="s">
        <v>69</v>
      </c>
      <c r="C48">
        <v>6</v>
      </c>
      <c r="D48">
        <v>92.7</v>
      </c>
      <c r="E48">
        <v>556.20000000000005</v>
      </c>
      <c r="F48" s="12">
        <v>45742</v>
      </c>
      <c r="G48" s="12">
        <v>45744</v>
      </c>
      <c r="H48" t="s">
        <v>27</v>
      </c>
      <c r="I48" t="s">
        <v>40</v>
      </c>
      <c r="J48">
        <v>3</v>
      </c>
      <c r="K48" t="s">
        <v>19</v>
      </c>
      <c r="L48" t="s">
        <v>33</v>
      </c>
      <c r="M48">
        <v>2</v>
      </c>
      <c r="N48">
        <v>13</v>
      </c>
      <c r="O48" t="s">
        <v>2530</v>
      </c>
    </row>
    <row r="49" spans="1:15">
      <c r="A49" t="s">
        <v>2413</v>
      </c>
      <c r="B49" t="s">
        <v>76</v>
      </c>
      <c r="C49">
        <v>15</v>
      </c>
      <c r="D49">
        <v>44.7</v>
      </c>
      <c r="E49">
        <v>670.5</v>
      </c>
      <c r="F49" s="12">
        <v>45742</v>
      </c>
      <c r="G49" s="12">
        <v>45743</v>
      </c>
      <c r="H49" t="s">
        <v>23</v>
      </c>
      <c r="I49" t="s">
        <v>18</v>
      </c>
      <c r="J49">
        <v>3</v>
      </c>
      <c r="K49" t="s">
        <v>19</v>
      </c>
      <c r="L49" t="s">
        <v>33</v>
      </c>
      <c r="M49">
        <v>1</v>
      </c>
      <c r="N49">
        <v>13</v>
      </c>
      <c r="O49" t="s">
        <v>2531</v>
      </c>
    </row>
    <row r="50" spans="1:15">
      <c r="A50" t="s">
        <v>2412</v>
      </c>
      <c r="B50" t="s">
        <v>16</v>
      </c>
      <c r="C50">
        <v>3</v>
      </c>
      <c r="D50">
        <v>17.5</v>
      </c>
      <c r="E50">
        <v>52.5</v>
      </c>
      <c r="F50" s="12">
        <v>45742</v>
      </c>
      <c r="G50" s="12">
        <v>45744</v>
      </c>
      <c r="H50" t="s">
        <v>23</v>
      </c>
      <c r="I50" t="s">
        <v>70</v>
      </c>
      <c r="J50">
        <v>4</v>
      </c>
      <c r="K50" t="s">
        <v>19</v>
      </c>
      <c r="L50" t="s">
        <v>33</v>
      </c>
      <c r="M50">
        <v>2</v>
      </c>
      <c r="N50">
        <v>13</v>
      </c>
      <c r="O50" t="s">
        <v>2531</v>
      </c>
    </row>
    <row r="51" spans="1:15">
      <c r="A51" t="s">
        <v>2411</v>
      </c>
      <c r="B51" t="s">
        <v>37</v>
      </c>
      <c r="C51">
        <v>2</v>
      </c>
      <c r="D51">
        <v>107.9</v>
      </c>
      <c r="E51">
        <v>215.8</v>
      </c>
      <c r="F51" s="12">
        <v>45742</v>
      </c>
      <c r="G51" s="12">
        <v>45742</v>
      </c>
      <c r="H51" t="s">
        <v>23</v>
      </c>
      <c r="I51" t="s">
        <v>35</v>
      </c>
      <c r="J51">
        <v>2</v>
      </c>
      <c r="K51" t="s">
        <v>19</v>
      </c>
      <c r="L51" t="s">
        <v>33</v>
      </c>
      <c r="M51">
        <v>0</v>
      </c>
      <c r="N51">
        <v>13</v>
      </c>
      <c r="O51" t="s">
        <v>2531</v>
      </c>
    </row>
    <row r="52" spans="1:15">
      <c r="A52" t="s">
        <v>2410</v>
      </c>
      <c r="B52" t="s">
        <v>30</v>
      </c>
      <c r="C52">
        <v>2</v>
      </c>
      <c r="D52">
        <v>34.200000000000003</v>
      </c>
      <c r="E52">
        <v>68.400000000000006</v>
      </c>
      <c r="F52" s="12">
        <v>45742</v>
      </c>
      <c r="G52" s="12">
        <v>45752</v>
      </c>
      <c r="H52" t="s">
        <v>17</v>
      </c>
      <c r="I52" t="s">
        <v>35</v>
      </c>
      <c r="J52">
        <v>4</v>
      </c>
      <c r="K52" t="s">
        <v>19</v>
      </c>
      <c r="L52" t="s">
        <v>33</v>
      </c>
      <c r="M52">
        <v>10</v>
      </c>
      <c r="N52">
        <v>13</v>
      </c>
      <c r="O52" t="s">
        <v>2533</v>
      </c>
    </row>
    <row r="53" spans="1:15">
      <c r="A53" t="s">
        <v>2409</v>
      </c>
      <c r="B53" t="s">
        <v>37</v>
      </c>
      <c r="C53">
        <v>2</v>
      </c>
      <c r="D53">
        <v>50.2</v>
      </c>
      <c r="E53">
        <v>100.4</v>
      </c>
      <c r="F53" s="12">
        <v>45742</v>
      </c>
      <c r="G53" s="12">
        <v>45744</v>
      </c>
      <c r="H53" t="s">
        <v>27</v>
      </c>
      <c r="I53" t="s">
        <v>35</v>
      </c>
      <c r="J53">
        <v>5</v>
      </c>
      <c r="K53" t="s">
        <v>19</v>
      </c>
      <c r="L53" t="s">
        <v>33</v>
      </c>
      <c r="M53">
        <v>2</v>
      </c>
      <c r="N53">
        <v>13</v>
      </c>
      <c r="O53" t="s">
        <v>2530</v>
      </c>
    </row>
    <row r="54" spans="1:15">
      <c r="A54" t="s">
        <v>2408</v>
      </c>
      <c r="B54" t="s">
        <v>46</v>
      </c>
      <c r="C54">
        <v>2</v>
      </c>
      <c r="D54">
        <v>72.900000000000006</v>
      </c>
      <c r="E54">
        <v>145.80000000000001</v>
      </c>
      <c r="F54" s="12">
        <v>45742</v>
      </c>
      <c r="G54" s="12">
        <v>45743</v>
      </c>
      <c r="H54" t="s">
        <v>23</v>
      </c>
      <c r="I54" t="s">
        <v>40</v>
      </c>
      <c r="J54">
        <v>3</v>
      </c>
      <c r="K54" t="s">
        <v>19</v>
      </c>
      <c r="L54" t="s">
        <v>33</v>
      </c>
      <c r="M54">
        <v>1</v>
      </c>
      <c r="N54">
        <v>13</v>
      </c>
      <c r="O54" t="s">
        <v>2531</v>
      </c>
    </row>
    <row r="55" spans="1:15">
      <c r="A55" t="s">
        <v>2407</v>
      </c>
      <c r="B55" t="s">
        <v>44</v>
      </c>
      <c r="C55">
        <v>2</v>
      </c>
      <c r="D55">
        <v>16.7</v>
      </c>
      <c r="E55">
        <v>33.4</v>
      </c>
      <c r="F55" s="12">
        <v>45742</v>
      </c>
      <c r="G55" s="12">
        <v>45746</v>
      </c>
      <c r="H55" t="s">
        <v>27</v>
      </c>
      <c r="I55" t="s">
        <v>18</v>
      </c>
      <c r="J55">
        <v>3</v>
      </c>
      <c r="K55" t="s">
        <v>19</v>
      </c>
      <c r="L55" t="s">
        <v>33</v>
      </c>
      <c r="M55">
        <v>4</v>
      </c>
      <c r="N55">
        <v>13</v>
      </c>
      <c r="O55" t="s">
        <v>2530</v>
      </c>
    </row>
    <row r="56" spans="1:15">
      <c r="A56" t="s">
        <v>116</v>
      </c>
      <c r="B56" t="s">
        <v>42</v>
      </c>
      <c r="C56">
        <v>3</v>
      </c>
      <c r="D56">
        <v>91.3</v>
      </c>
      <c r="E56">
        <v>273.89999999999998</v>
      </c>
      <c r="F56" s="12">
        <v>45659</v>
      </c>
      <c r="G56" s="12">
        <v>45662</v>
      </c>
      <c r="H56" t="s">
        <v>23</v>
      </c>
      <c r="I56" t="s">
        <v>40</v>
      </c>
      <c r="J56">
        <v>5</v>
      </c>
      <c r="K56" t="s">
        <v>19</v>
      </c>
      <c r="L56" t="s">
        <v>33</v>
      </c>
      <c r="M56">
        <v>3</v>
      </c>
      <c r="N56">
        <v>1</v>
      </c>
      <c r="O56" t="s">
        <v>2531</v>
      </c>
    </row>
    <row r="57" spans="1:15">
      <c r="A57" t="s">
        <v>117</v>
      </c>
      <c r="B57" t="s">
        <v>44</v>
      </c>
      <c r="C57">
        <v>8</v>
      </c>
      <c r="D57">
        <v>19.3</v>
      </c>
      <c r="E57">
        <v>154.4</v>
      </c>
      <c r="F57" s="12">
        <v>45659</v>
      </c>
      <c r="G57" s="12">
        <v>45660</v>
      </c>
      <c r="H57" t="s">
        <v>23</v>
      </c>
      <c r="I57" t="s">
        <v>18</v>
      </c>
      <c r="J57">
        <v>4</v>
      </c>
      <c r="K57" t="s">
        <v>19</v>
      </c>
      <c r="L57" t="s">
        <v>33</v>
      </c>
      <c r="M57">
        <v>1</v>
      </c>
      <c r="N57">
        <v>1</v>
      </c>
      <c r="O57" t="s">
        <v>2531</v>
      </c>
    </row>
    <row r="58" spans="1:15">
      <c r="A58" t="s">
        <v>118</v>
      </c>
      <c r="B58" t="s">
        <v>69</v>
      </c>
      <c r="C58">
        <v>13</v>
      </c>
      <c r="D58">
        <v>63.2</v>
      </c>
      <c r="E58">
        <v>821.6</v>
      </c>
      <c r="F58" s="12">
        <v>45659</v>
      </c>
      <c r="G58" s="12">
        <v>45660</v>
      </c>
      <c r="H58" t="s">
        <v>27</v>
      </c>
      <c r="I58" t="s">
        <v>18</v>
      </c>
      <c r="J58">
        <v>4</v>
      </c>
      <c r="K58" t="s">
        <v>19</v>
      </c>
      <c r="L58" t="s">
        <v>33</v>
      </c>
      <c r="M58">
        <v>1</v>
      </c>
      <c r="N58">
        <v>1</v>
      </c>
      <c r="O58" t="s">
        <v>2530</v>
      </c>
    </row>
    <row r="59" spans="1:15">
      <c r="A59" t="s">
        <v>119</v>
      </c>
      <c r="B59" t="s">
        <v>54</v>
      </c>
      <c r="C59">
        <v>9</v>
      </c>
      <c r="D59">
        <v>33.299999999999997</v>
      </c>
      <c r="E59">
        <v>299.7</v>
      </c>
      <c r="F59" s="12">
        <v>45660</v>
      </c>
      <c r="G59" s="12">
        <v>45668</v>
      </c>
      <c r="H59" t="s">
        <v>27</v>
      </c>
      <c r="I59" t="s">
        <v>18</v>
      </c>
      <c r="J59">
        <v>5</v>
      </c>
      <c r="K59" t="s">
        <v>19</v>
      </c>
      <c r="L59" t="s">
        <v>33</v>
      </c>
      <c r="M59">
        <v>8</v>
      </c>
      <c r="N59">
        <v>1</v>
      </c>
      <c r="O59" t="s">
        <v>2530</v>
      </c>
    </row>
    <row r="60" spans="1:15">
      <c r="A60" t="s">
        <v>120</v>
      </c>
      <c r="B60" t="s">
        <v>42</v>
      </c>
      <c r="C60">
        <v>2</v>
      </c>
      <c r="D60">
        <v>64.2</v>
      </c>
      <c r="E60">
        <v>128.4</v>
      </c>
      <c r="F60" s="12">
        <v>45660</v>
      </c>
      <c r="G60" s="12">
        <v>45661</v>
      </c>
      <c r="H60" t="s">
        <v>23</v>
      </c>
      <c r="I60" t="s">
        <v>18</v>
      </c>
      <c r="J60">
        <v>5</v>
      </c>
      <c r="K60" t="s">
        <v>19</v>
      </c>
      <c r="L60" t="s">
        <v>33</v>
      </c>
      <c r="M60">
        <v>1</v>
      </c>
      <c r="N60">
        <v>1</v>
      </c>
      <c r="O60" t="s">
        <v>2531</v>
      </c>
    </row>
    <row r="61" spans="1:15">
      <c r="A61" t="s">
        <v>121</v>
      </c>
      <c r="B61" t="s">
        <v>46</v>
      </c>
      <c r="C61">
        <v>3</v>
      </c>
      <c r="D61">
        <v>23.1</v>
      </c>
      <c r="E61">
        <v>69.300000000000011</v>
      </c>
      <c r="F61" s="12">
        <v>45660</v>
      </c>
      <c r="G61" s="12">
        <v>45663</v>
      </c>
      <c r="H61" t="s">
        <v>27</v>
      </c>
      <c r="I61" t="s">
        <v>35</v>
      </c>
      <c r="J61">
        <v>5</v>
      </c>
      <c r="K61" t="s">
        <v>19</v>
      </c>
      <c r="L61" t="s">
        <v>33</v>
      </c>
      <c r="M61">
        <v>3</v>
      </c>
      <c r="N61">
        <v>1</v>
      </c>
      <c r="O61" t="s">
        <v>2530</v>
      </c>
    </row>
    <row r="62" spans="1:15">
      <c r="A62" t="s">
        <v>122</v>
      </c>
      <c r="B62" t="s">
        <v>123</v>
      </c>
      <c r="C62">
        <v>2</v>
      </c>
      <c r="D62">
        <v>71.099999999999994</v>
      </c>
      <c r="E62">
        <v>142.19999999999999</v>
      </c>
      <c r="F62" s="12">
        <v>45660</v>
      </c>
      <c r="G62" s="12">
        <v>45662</v>
      </c>
      <c r="H62" t="s">
        <v>27</v>
      </c>
      <c r="I62" t="s">
        <v>51</v>
      </c>
      <c r="J62">
        <v>3</v>
      </c>
      <c r="K62" t="s">
        <v>19</v>
      </c>
      <c r="L62" t="s">
        <v>33</v>
      </c>
      <c r="M62">
        <v>2</v>
      </c>
      <c r="N62">
        <v>1</v>
      </c>
      <c r="O62" t="s">
        <v>2530</v>
      </c>
    </row>
    <row r="63" spans="1:15">
      <c r="A63" t="s">
        <v>124</v>
      </c>
      <c r="B63" t="s">
        <v>16</v>
      </c>
      <c r="C63">
        <v>2</v>
      </c>
      <c r="D63">
        <v>11.5</v>
      </c>
      <c r="E63">
        <v>23</v>
      </c>
      <c r="F63" s="12">
        <v>45660</v>
      </c>
      <c r="G63" s="12">
        <v>45661</v>
      </c>
      <c r="H63" t="s">
        <v>27</v>
      </c>
      <c r="I63" t="s">
        <v>18</v>
      </c>
      <c r="J63">
        <v>4</v>
      </c>
      <c r="K63" t="s">
        <v>19</v>
      </c>
      <c r="L63" t="s">
        <v>33</v>
      </c>
      <c r="M63">
        <v>1</v>
      </c>
      <c r="N63">
        <v>1</v>
      </c>
      <c r="O63" t="s">
        <v>2530</v>
      </c>
    </row>
    <row r="64" spans="1:15">
      <c r="A64" t="s">
        <v>125</v>
      </c>
      <c r="B64" t="s">
        <v>123</v>
      </c>
      <c r="C64">
        <v>19</v>
      </c>
      <c r="D64">
        <v>69.2</v>
      </c>
      <c r="E64">
        <v>1314.8</v>
      </c>
      <c r="F64" s="12">
        <v>45660</v>
      </c>
      <c r="G64" s="12">
        <v>45665</v>
      </c>
      <c r="H64" t="s">
        <v>27</v>
      </c>
      <c r="I64" t="s">
        <v>18</v>
      </c>
      <c r="J64">
        <v>4</v>
      </c>
      <c r="K64" t="s">
        <v>19</v>
      </c>
      <c r="L64" t="s">
        <v>33</v>
      </c>
      <c r="M64">
        <v>5</v>
      </c>
      <c r="N64">
        <v>1</v>
      </c>
      <c r="O64" t="s">
        <v>2530</v>
      </c>
    </row>
    <row r="65" spans="1:15">
      <c r="A65" t="s">
        <v>126</v>
      </c>
      <c r="B65" t="s">
        <v>16</v>
      </c>
      <c r="C65">
        <v>1</v>
      </c>
      <c r="D65">
        <v>26.8</v>
      </c>
      <c r="E65">
        <v>26.8</v>
      </c>
      <c r="F65" s="12">
        <v>45660</v>
      </c>
      <c r="G65" s="12">
        <v>45661</v>
      </c>
      <c r="H65" t="s">
        <v>23</v>
      </c>
      <c r="I65" t="s">
        <v>40</v>
      </c>
      <c r="J65">
        <v>2</v>
      </c>
      <c r="K65" t="s">
        <v>19</v>
      </c>
      <c r="L65" t="s">
        <v>33</v>
      </c>
      <c r="M65">
        <v>1</v>
      </c>
      <c r="N65">
        <v>1</v>
      </c>
      <c r="O65" t="s">
        <v>2531</v>
      </c>
    </row>
    <row r="66" spans="1:15">
      <c r="A66" t="s">
        <v>127</v>
      </c>
      <c r="B66" t="s">
        <v>128</v>
      </c>
      <c r="C66">
        <v>3</v>
      </c>
      <c r="D66">
        <v>31.2</v>
      </c>
      <c r="E66">
        <v>93.6</v>
      </c>
      <c r="F66" s="12">
        <v>45660</v>
      </c>
      <c r="G66" s="12">
        <v>45663</v>
      </c>
      <c r="H66" t="s">
        <v>27</v>
      </c>
      <c r="I66" t="s">
        <v>18</v>
      </c>
      <c r="J66">
        <v>4</v>
      </c>
      <c r="K66" t="s">
        <v>19</v>
      </c>
      <c r="L66" t="s">
        <v>33</v>
      </c>
      <c r="M66">
        <v>3</v>
      </c>
      <c r="N66">
        <v>1</v>
      </c>
      <c r="O66" t="s">
        <v>2530</v>
      </c>
    </row>
    <row r="67" spans="1:15">
      <c r="A67" t="s">
        <v>129</v>
      </c>
      <c r="B67" t="s">
        <v>69</v>
      </c>
      <c r="C67">
        <v>2</v>
      </c>
      <c r="D67">
        <v>113.2</v>
      </c>
      <c r="E67">
        <v>226.4</v>
      </c>
      <c r="F67" s="12">
        <v>45660</v>
      </c>
      <c r="G67" s="12">
        <v>45661</v>
      </c>
      <c r="H67" t="s">
        <v>27</v>
      </c>
      <c r="I67" t="s">
        <v>70</v>
      </c>
      <c r="J67">
        <v>4</v>
      </c>
      <c r="K67" t="s">
        <v>19</v>
      </c>
      <c r="L67" t="s">
        <v>33</v>
      </c>
      <c r="M67">
        <v>1</v>
      </c>
      <c r="N67">
        <v>1</v>
      </c>
      <c r="O67" t="s">
        <v>2530</v>
      </c>
    </row>
    <row r="68" spans="1:15">
      <c r="A68" t="s">
        <v>2406</v>
      </c>
      <c r="B68" t="s">
        <v>26</v>
      </c>
      <c r="C68">
        <v>2</v>
      </c>
      <c r="D68">
        <v>83.9</v>
      </c>
      <c r="E68">
        <v>167.8</v>
      </c>
      <c r="F68" s="12">
        <v>45742</v>
      </c>
      <c r="G68" s="12">
        <v>45745</v>
      </c>
      <c r="H68" t="s">
        <v>27</v>
      </c>
      <c r="I68" t="s">
        <v>18</v>
      </c>
      <c r="J68">
        <v>4</v>
      </c>
      <c r="K68" t="s">
        <v>19</v>
      </c>
      <c r="L68" t="s">
        <v>33</v>
      </c>
      <c r="M68">
        <v>3</v>
      </c>
      <c r="N68">
        <v>13</v>
      </c>
      <c r="O68" t="s">
        <v>2530</v>
      </c>
    </row>
    <row r="69" spans="1:15">
      <c r="A69" t="s">
        <v>2405</v>
      </c>
      <c r="B69" t="s">
        <v>32</v>
      </c>
      <c r="C69">
        <v>1</v>
      </c>
      <c r="D69">
        <v>41.5</v>
      </c>
      <c r="E69">
        <v>41.5</v>
      </c>
      <c r="F69" s="12">
        <v>45742</v>
      </c>
      <c r="G69" s="12">
        <v>45744</v>
      </c>
      <c r="H69" t="s">
        <v>23</v>
      </c>
      <c r="I69" t="s">
        <v>40</v>
      </c>
      <c r="J69">
        <v>4</v>
      </c>
      <c r="K69" t="s">
        <v>19</v>
      </c>
      <c r="L69" t="s">
        <v>33</v>
      </c>
      <c r="M69">
        <v>2</v>
      </c>
      <c r="N69">
        <v>13</v>
      </c>
      <c r="O69" t="s">
        <v>2531</v>
      </c>
    </row>
    <row r="70" spans="1:15">
      <c r="A70" t="s">
        <v>2380</v>
      </c>
      <c r="B70" t="s">
        <v>26</v>
      </c>
      <c r="C70">
        <v>3</v>
      </c>
      <c r="D70">
        <v>101.4</v>
      </c>
      <c r="E70">
        <v>304.20000000000005</v>
      </c>
      <c r="F70" s="12">
        <v>45741</v>
      </c>
      <c r="G70" s="12">
        <v>45742</v>
      </c>
      <c r="H70" t="s">
        <v>23</v>
      </c>
      <c r="I70" t="s">
        <v>18</v>
      </c>
      <c r="J70">
        <v>4</v>
      </c>
      <c r="K70" t="s">
        <v>19</v>
      </c>
      <c r="L70" t="s">
        <v>33</v>
      </c>
      <c r="M70">
        <v>1</v>
      </c>
      <c r="N70">
        <v>13</v>
      </c>
      <c r="O70" t="s">
        <v>2531</v>
      </c>
    </row>
    <row r="71" spans="1:15">
      <c r="A71" t="s">
        <v>2379</v>
      </c>
      <c r="B71" t="s">
        <v>128</v>
      </c>
      <c r="C71">
        <v>3</v>
      </c>
      <c r="D71">
        <v>30.3</v>
      </c>
      <c r="E71">
        <v>90.9</v>
      </c>
      <c r="F71" s="12">
        <v>45741</v>
      </c>
      <c r="G71" s="12">
        <v>45744</v>
      </c>
      <c r="H71" t="s">
        <v>27</v>
      </c>
      <c r="I71" t="s">
        <v>35</v>
      </c>
      <c r="J71">
        <v>5</v>
      </c>
      <c r="K71" t="s">
        <v>19</v>
      </c>
      <c r="L71" t="s">
        <v>33</v>
      </c>
      <c r="M71">
        <v>3</v>
      </c>
      <c r="N71">
        <v>13</v>
      </c>
      <c r="O71" t="s">
        <v>2530</v>
      </c>
    </row>
    <row r="72" spans="1:15">
      <c r="A72" t="s">
        <v>2378</v>
      </c>
      <c r="B72" t="s">
        <v>44</v>
      </c>
      <c r="C72">
        <v>7</v>
      </c>
      <c r="D72">
        <v>19.399999999999999</v>
      </c>
      <c r="E72">
        <v>135.79999999999998</v>
      </c>
      <c r="F72" s="12">
        <v>45741</v>
      </c>
      <c r="G72" s="12">
        <v>45743</v>
      </c>
      <c r="H72" t="s">
        <v>17</v>
      </c>
      <c r="I72" t="s">
        <v>35</v>
      </c>
      <c r="J72">
        <v>3</v>
      </c>
      <c r="K72" t="s">
        <v>19</v>
      </c>
      <c r="L72" t="s">
        <v>33</v>
      </c>
      <c r="M72">
        <v>2</v>
      </c>
      <c r="N72">
        <v>13</v>
      </c>
      <c r="O72" t="s">
        <v>2533</v>
      </c>
    </row>
    <row r="73" spans="1:15">
      <c r="A73" t="s">
        <v>2377</v>
      </c>
      <c r="B73" t="s">
        <v>16</v>
      </c>
      <c r="C73">
        <v>2</v>
      </c>
      <c r="D73">
        <v>26</v>
      </c>
      <c r="E73">
        <v>52</v>
      </c>
      <c r="F73" s="12">
        <v>45741</v>
      </c>
      <c r="G73" s="12">
        <v>45743</v>
      </c>
      <c r="H73" t="s">
        <v>23</v>
      </c>
      <c r="I73" t="s">
        <v>40</v>
      </c>
      <c r="J73">
        <v>3</v>
      </c>
      <c r="K73" t="s">
        <v>19</v>
      </c>
      <c r="L73" t="s">
        <v>33</v>
      </c>
      <c r="M73">
        <v>2</v>
      </c>
      <c r="N73">
        <v>13</v>
      </c>
      <c r="O73" t="s">
        <v>2531</v>
      </c>
    </row>
    <row r="74" spans="1:15">
      <c r="A74" t="s">
        <v>2376</v>
      </c>
      <c r="B74" t="s">
        <v>37</v>
      </c>
      <c r="C74">
        <v>5</v>
      </c>
      <c r="D74">
        <v>34.1</v>
      </c>
      <c r="E74">
        <v>170.5</v>
      </c>
      <c r="F74" s="12">
        <v>45741</v>
      </c>
      <c r="G74" s="12">
        <v>45743</v>
      </c>
      <c r="H74" t="s">
        <v>23</v>
      </c>
      <c r="I74" t="s">
        <v>18</v>
      </c>
      <c r="J74">
        <v>5</v>
      </c>
      <c r="K74" t="s">
        <v>19</v>
      </c>
      <c r="L74" t="s">
        <v>33</v>
      </c>
      <c r="M74">
        <v>2</v>
      </c>
      <c r="N74">
        <v>13</v>
      </c>
      <c r="O74" t="s">
        <v>2531</v>
      </c>
    </row>
    <row r="75" spans="1:15">
      <c r="A75" t="s">
        <v>2375</v>
      </c>
      <c r="B75" t="s">
        <v>123</v>
      </c>
      <c r="C75">
        <v>4</v>
      </c>
      <c r="D75">
        <v>27.4</v>
      </c>
      <c r="E75">
        <v>109.6</v>
      </c>
      <c r="F75" s="12">
        <v>45741</v>
      </c>
      <c r="G75" s="12">
        <v>45743</v>
      </c>
      <c r="H75" t="s">
        <v>27</v>
      </c>
      <c r="I75" t="s">
        <v>18</v>
      </c>
      <c r="J75">
        <v>4</v>
      </c>
      <c r="K75" t="s">
        <v>19</v>
      </c>
      <c r="L75" t="s">
        <v>33</v>
      </c>
      <c r="M75">
        <v>2</v>
      </c>
      <c r="N75">
        <v>13</v>
      </c>
      <c r="O75" t="s">
        <v>2530</v>
      </c>
    </row>
    <row r="76" spans="1:15">
      <c r="A76" t="s">
        <v>2352</v>
      </c>
      <c r="B76" t="s">
        <v>37</v>
      </c>
      <c r="C76">
        <v>4</v>
      </c>
      <c r="D76">
        <v>74.099999999999994</v>
      </c>
      <c r="E76">
        <v>296.39999999999998</v>
      </c>
      <c r="F76" s="12">
        <v>45740</v>
      </c>
      <c r="G76" s="12">
        <v>45742</v>
      </c>
      <c r="H76" t="s">
        <v>27</v>
      </c>
      <c r="I76" t="s">
        <v>18</v>
      </c>
      <c r="J76">
        <v>4</v>
      </c>
      <c r="K76" t="s">
        <v>19</v>
      </c>
      <c r="L76" t="s">
        <v>33</v>
      </c>
      <c r="M76">
        <v>2</v>
      </c>
      <c r="N76">
        <v>13</v>
      </c>
      <c r="O76" t="s">
        <v>2530</v>
      </c>
    </row>
    <row r="77" spans="1:15">
      <c r="A77" t="s">
        <v>2351</v>
      </c>
      <c r="B77" t="s">
        <v>39</v>
      </c>
      <c r="C77">
        <v>1</v>
      </c>
      <c r="D77">
        <v>44.2</v>
      </c>
      <c r="E77">
        <v>44.2</v>
      </c>
      <c r="F77" s="12">
        <v>45740</v>
      </c>
      <c r="G77" s="12">
        <v>45743</v>
      </c>
      <c r="H77" t="s">
        <v>23</v>
      </c>
      <c r="I77" t="s">
        <v>35</v>
      </c>
      <c r="J77">
        <v>4</v>
      </c>
      <c r="K77" t="s">
        <v>19</v>
      </c>
      <c r="L77" t="s">
        <v>33</v>
      </c>
      <c r="M77">
        <v>3</v>
      </c>
      <c r="N77">
        <v>13</v>
      </c>
      <c r="O77" t="s">
        <v>2531</v>
      </c>
    </row>
    <row r="78" spans="1:15">
      <c r="A78" t="s">
        <v>2350</v>
      </c>
      <c r="B78" t="s">
        <v>30</v>
      </c>
      <c r="C78">
        <v>2</v>
      </c>
      <c r="D78">
        <v>85.8</v>
      </c>
      <c r="E78">
        <v>171.6</v>
      </c>
      <c r="F78" s="12">
        <v>45740</v>
      </c>
      <c r="G78" s="12">
        <v>45741</v>
      </c>
      <c r="H78" t="s">
        <v>27</v>
      </c>
      <c r="I78" t="s">
        <v>35</v>
      </c>
      <c r="J78">
        <v>2</v>
      </c>
      <c r="K78" t="s">
        <v>19</v>
      </c>
      <c r="L78" t="s">
        <v>33</v>
      </c>
      <c r="M78">
        <v>1</v>
      </c>
      <c r="N78">
        <v>13</v>
      </c>
      <c r="O78" t="s">
        <v>2530</v>
      </c>
    </row>
    <row r="79" spans="1:15">
      <c r="A79" t="s">
        <v>2349</v>
      </c>
      <c r="B79" t="s">
        <v>26</v>
      </c>
      <c r="C79">
        <v>2</v>
      </c>
      <c r="D79">
        <v>125.3</v>
      </c>
      <c r="E79">
        <v>250.6</v>
      </c>
      <c r="F79" s="12">
        <v>45740</v>
      </c>
      <c r="G79" s="12">
        <v>45743</v>
      </c>
      <c r="H79" t="s">
        <v>27</v>
      </c>
      <c r="I79" t="s">
        <v>18</v>
      </c>
      <c r="J79">
        <v>5</v>
      </c>
      <c r="K79" t="s">
        <v>19</v>
      </c>
      <c r="L79" t="s">
        <v>33</v>
      </c>
      <c r="M79">
        <v>3</v>
      </c>
      <c r="N79">
        <v>13</v>
      </c>
      <c r="O79" t="s">
        <v>2530</v>
      </c>
    </row>
    <row r="80" spans="1:15">
      <c r="A80" t="s">
        <v>2348</v>
      </c>
      <c r="B80" t="s">
        <v>26</v>
      </c>
      <c r="C80">
        <v>1</v>
      </c>
      <c r="D80">
        <v>118.4</v>
      </c>
      <c r="E80">
        <v>118.4</v>
      </c>
      <c r="F80" s="12">
        <v>45740</v>
      </c>
      <c r="G80" s="12">
        <v>45741</v>
      </c>
      <c r="H80" t="s">
        <v>27</v>
      </c>
      <c r="I80" t="s">
        <v>18</v>
      </c>
      <c r="J80">
        <v>5</v>
      </c>
      <c r="K80" t="s">
        <v>19</v>
      </c>
      <c r="L80" t="s">
        <v>33</v>
      </c>
      <c r="M80">
        <v>1</v>
      </c>
      <c r="N80">
        <v>13</v>
      </c>
      <c r="O80" t="s">
        <v>2530</v>
      </c>
    </row>
    <row r="81" spans="1:15">
      <c r="A81" t="s">
        <v>2347</v>
      </c>
      <c r="B81" t="s">
        <v>54</v>
      </c>
      <c r="C81">
        <v>5</v>
      </c>
      <c r="D81">
        <v>41.4</v>
      </c>
      <c r="E81">
        <v>207</v>
      </c>
      <c r="F81" s="12">
        <v>45740</v>
      </c>
      <c r="G81" s="12">
        <v>45741</v>
      </c>
      <c r="H81" t="s">
        <v>23</v>
      </c>
      <c r="I81" t="s">
        <v>51</v>
      </c>
      <c r="J81">
        <v>4</v>
      </c>
      <c r="K81" t="s">
        <v>19</v>
      </c>
      <c r="L81" t="s">
        <v>33</v>
      </c>
      <c r="M81">
        <v>1</v>
      </c>
      <c r="N81">
        <v>13</v>
      </c>
      <c r="O81" t="s">
        <v>2531</v>
      </c>
    </row>
    <row r="82" spans="1:15">
      <c r="A82" t="s">
        <v>2346</v>
      </c>
      <c r="B82" t="s">
        <v>44</v>
      </c>
      <c r="C82">
        <v>2</v>
      </c>
      <c r="D82">
        <v>18.899999999999999</v>
      </c>
      <c r="E82">
        <v>37.799999999999997</v>
      </c>
      <c r="F82" s="12">
        <v>45740</v>
      </c>
      <c r="G82" s="12">
        <v>45742</v>
      </c>
      <c r="H82" t="s">
        <v>27</v>
      </c>
      <c r="I82" t="s">
        <v>70</v>
      </c>
      <c r="J82">
        <v>5</v>
      </c>
      <c r="K82" t="s">
        <v>19</v>
      </c>
      <c r="L82" t="s">
        <v>33</v>
      </c>
      <c r="M82">
        <v>2</v>
      </c>
      <c r="N82">
        <v>13</v>
      </c>
      <c r="O82" t="s">
        <v>2530</v>
      </c>
    </row>
    <row r="83" spans="1:15">
      <c r="A83" t="s">
        <v>148</v>
      </c>
      <c r="B83" t="s">
        <v>39</v>
      </c>
      <c r="C83">
        <v>6</v>
      </c>
      <c r="D83">
        <v>50.6</v>
      </c>
      <c r="E83">
        <v>303.60000000000002</v>
      </c>
      <c r="F83" s="12">
        <v>45660</v>
      </c>
      <c r="G83" s="12">
        <v>45662</v>
      </c>
      <c r="H83" t="s">
        <v>27</v>
      </c>
      <c r="I83" t="s">
        <v>51</v>
      </c>
      <c r="J83">
        <v>4</v>
      </c>
      <c r="K83" t="s">
        <v>19</v>
      </c>
      <c r="L83" t="s">
        <v>33</v>
      </c>
      <c r="M83">
        <v>2</v>
      </c>
      <c r="N83">
        <v>1</v>
      </c>
      <c r="O83" t="s">
        <v>2530</v>
      </c>
    </row>
    <row r="84" spans="1:15">
      <c r="A84" t="s">
        <v>149</v>
      </c>
      <c r="B84" t="s">
        <v>123</v>
      </c>
      <c r="C84">
        <v>3</v>
      </c>
      <c r="D84">
        <v>36.799999999999997</v>
      </c>
      <c r="E84">
        <v>110.39999999999999</v>
      </c>
      <c r="F84" s="12">
        <v>45660</v>
      </c>
      <c r="G84" s="12">
        <v>45660</v>
      </c>
      <c r="H84" t="s">
        <v>23</v>
      </c>
      <c r="I84" t="s">
        <v>40</v>
      </c>
      <c r="J84">
        <v>3</v>
      </c>
      <c r="K84" t="s">
        <v>19</v>
      </c>
      <c r="L84" t="s">
        <v>33</v>
      </c>
      <c r="M84">
        <v>0</v>
      </c>
      <c r="N84">
        <v>1</v>
      </c>
      <c r="O84" t="s">
        <v>2531</v>
      </c>
    </row>
    <row r="85" spans="1:15">
      <c r="A85" t="s">
        <v>150</v>
      </c>
      <c r="B85" t="s">
        <v>44</v>
      </c>
      <c r="C85">
        <v>9</v>
      </c>
      <c r="D85">
        <v>41.8</v>
      </c>
      <c r="E85">
        <v>376.2</v>
      </c>
      <c r="F85" s="12">
        <v>45661</v>
      </c>
      <c r="G85" s="12">
        <v>45667</v>
      </c>
      <c r="H85" t="s">
        <v>27</v>
      </c>
      <c r="I85" t="s">
        <v>51</v>
      </c>
      <c r="J85">
        <v>4</v>
      </c>
      <c r="K85" t="s">
        <v>19</v>
      </c>
      <c r="L85" t="s">
        <v>33</v>
      </c>
      <c r="M85">
        <v>6</v>
      </c>
      <c r="N85">
        <v>1</v>
      </c>
      <c r="O85" t="s">
        <v>2530</v>
      </c>
    </row>
    <row r="86" spans="1:15">
      <c r="A86" t="s">
        <v>151</v>
      </c>
      <c r="B86" t="s">
        <v>146</v>
      </c>
      <c r="C86">
        <v>1</v>
      </c>
      <c r="D86">
        <v>77.3</v>
      </c>
      <c r="E86">
        <v>77.3</v>
      </c>
      <c r="F86" s="12">
        <v>45661</v>
      </c>
      <c r="G86" s="12">
        <v>45662</v>
      </c>
      <c r="H86" t="s">
        <v>23</v>
      </c>
      <c r="I86" t="s">
        <v>70</v>
      </c>
      <c r="J86">
        <v>2</v>
      </c>
      <c r="K86" t="s">
        <v>19</v>
      </c>
      <c r="L86" t="s">
        <v>33</v>
      </c>
      <c r="M86">
        <v>1</v>
      </c>
      <c r="N86">
        <v>1</v>
      </c>
      <c r="O86" t="s">
        <v>2531</v>
      </c>
    </row>
    <row r="87" spans="1:15">
      <c r="A87" t="s">
        <v>152</v>
      </c>
      <c r="B87" t="s">
        <v>44</v>
      </c>
      <c r="C87">
        <v>4</v>
      </c>
      <c r="D87">
        <v>19.8</v>
      </c>
      <c r="E87">
        <v>79.2</v>
      </c>
      <c r="F87" s="12">
        <v>45661</v>
      </c>
      <c r="G87" s="12">
        <v>45667</v>
      </c>
      <c r="H87" t="s">
        <v>23</v>
      </c>
      <c r="I87" t="s">
        <v>35</v>
      </c>
      <c r="J87">
        <v>5</v>
      </c>
      <c r="K87" t="s">
        <v>19</v>
      </c>
      <c r="L87" t="s">
        <v>33</v>
      </c>
      <c r="M87">
        <v>6</v>
      </c>
      <c r="N87">
        <v>1</v>
      </c>
      <c r="O87" t="s">
        <v>2531</v>
      </c>
    </row>
    <row r="88" spans="1:15">
      <c r="A88" t="s">
        <v>153</v>
      </c>
      <c r="B88" t="s">
        <v>76</v>
      </c>
      <c r="C88">
        <v>4</v>
      </c>
      <c r="D88">
        <v>15.5</v>
      </c>
      <c r="E88">
        <v>62</v>
      </c>
      <c r="F88" s="12">
        <v>45661</v>
      </c>
      <c r="G88" s="12">
        <v>45662</v>
      </c>
      <c r="H88" t="s">
        <v>27</v>
      </c>
      <c r="I88" t="s">
        <v>35</v>
      </c>
      <c r="J88">
        <v>5</v>
      </c>
      <c r="K88" t="s">
        <v>19</v>
      </c>
      <c r="L88" t="s">
        <v>33</v>
      </c>
      <c r="M88">
        <v>1</v>
      </c>
      <c r="N88">
        <v>1</v>
      </c>
      <c r="O88" t="s">
        <v>2530</v>
      </c>
    </row>
    <row r="89" spans="1:15">
      <c r="A89" t="s">
        <v>154</v>
      </c>
      <c r="B89" t="s">
        <v>69</v>
      </c>
      <c r="C89">
        <v>1</v>
      </c>
      <c r="D89">
        <v>46.8</v>
      </c>
      <c r="E89">
        <v>46.8</v>
      </c>
      <c r="F89" s="12">
        <v>45661</v>
      </c>
      <c r="G89" s="12">
        <v>45665</v>
      </c>
      <c r="H89" t="s">
        <v>23</v>
      </c>
      <c r="I89" t="s">
        <v>18</v>
      </c>
      <c r="J89">
        <v>5</v>
      </c>
      <c r="K89" t="s">
        <v>19</v>
      </c>
      <c r="L89" t="s">
        <v>33</v>
      </c>
      <c r="M89">
        <v>4</v>
      </c>
      <c r="N89">
        <v>1</v>
      </c>
      <c r="O89" t="s">
        <v>2531</v>
      </c>
    </row>
    <row r="90" spans="1:15">
      <c r="A90" t="s">
        <v>155</v>
      </c>
      <c r="B90" t="s">
        <v>46</v>
      </c>
      <c r="C90">
        <v>9</v>
      </c>
      <c r="D90">
        <v>28.6</v>
      </c>
      <c r="E90">
        <v>257.40000000000003</v>
      </c>
      <c r="F90" s="12">
        <v>45661</v>
      </c>
      <c r="G90" s="12">
        <v>45665</v>
      </c>
      <c r="H90" t="s">
        <v>23</v>
      </c>
      <c r="I90" t="s">
        <v>18</v>
      </c>
      <c r="J90">
        <v>5</v>
      </c>
      <c r="K90" t="s">
        <v>19</v>
      </c>
      <c r="L90" t="s">
        <v>33</v>
      </c>
      <c r="M90">
        <v>4</v>
      </c>
      <c r="N90">
        <v>1</v>
      </c>
      <c r="O90" t="s">
        <v>2531</v>
      </c>
    </row>
    <row r="91" spans="1:15">
      <c r="A91" t="s">
        <v>156</v>
      </c>
      <c r="B91" t="s">
        <v>26</v>
      </c>
      <c r="C91">
        <v>1</v>
      </c>
      <c r="D91">
        <v>97.7</v>
      </c>
      <c r="E91">
        <v>97.7</v>
      </c>
      <c r="F91" s="12">
        <v>45661</v>
      </c>
      <c r="G91" s="12">
        <v>45664</v>
      </c>
      <c r="H91" t="s">
        <v>27</v>
      </c>
      <c r="I91" t="s">
        <v>35</v>
      </c>
      <c r="J91">
        <v>4</v>
      </c>
      <c r="K91" t="s">
        <v>19</v>
      </c>
      <c r="L91" t="s">
        <v>33</v>
      </c>
      <c r="M91">
        <v>3</v>
      </c>
      <c r="N91">
        <v>1</v>
      </c>
      <c r="O91" t="s">
        <v>2530</v>
      </c>
    </row>
    <row r="92" spans="1:15">
      <c r="A92" t="s">
        <v>2345</v>
      </c>
      <c r="B92" t="s">
        <v>54</v>
      </c>
      <c r="C92">
        <v>1</v>
      </c>
      <c r="D92">
        <v>29.6</v>
      </c>
      <c r="E92">
        <v>29.6</v>
      </c>
      <c r="F92" s="12">
        <v>45740</v>
      </c>
      <c r="G92" s="12">
        <v>45744</v>
      </c>
      <c r="H92" t="s">
        <v>23</v>
      </c>
      <c r="I92" t="s">
        <v>18</v>
      </c>
      <c r="J92">
        <v>2</v>
      </c>
      <c r="K92" t="s">
        <v>19</v>
      </c>
      <c r="L92" t="s">
        <v>33</v>
      </c>
      <c r="M92">
        <v>4</v>
      </c>
      <c r="N92">
        <v>13</v>
      </c>
      <c r="O92" t="s">
        <v>2531</v>
      </c>
    </row>
    <row r="93" spans="1:15">
      <c r="A93" t="s">
        <v>2344</v>
      </c>
      <c r="B93" t="s">
        <v>44</v>
      </c>
      <c r="C93">
        <v>3</v>
      </c>
      <c r="D93">
        <v>19.100000000000001</v>
      </c>
      <c r="E93">
        <v>57.300000000000004</v>
      </c>
      <c r="F93" s="12">
        <v>45740</v>
      </c>
      <c r="G93" s="12">
        <v>45742</v>
      </c>
      <c r="H93" t="s">
        <v>23</v>
      </c>
      <c r="I93" t="s">
        <v>18</v>
      </c>
      <c r="J93">
        <v>3</v>
      </c>
      <c r="K93" t="s">
        <v>19</v>
      </c>
      <c r="L93" t="s">
        <v>33</v>
      </c>
      <c r="M93">
        <v>2</v>
      </c>
      <c r="N93">
        <v>13</v>
      </c>
      <c r="O93" t="s">
        <v>2531</v>
      </c>
    </row>
    <row r="94" spans="1:15">
      <c r="A94" t="s">
        <v>2343</v>
      </c>
      <c r="B94" t="s">
        <v>123</v>
      </c>
      <c r="C94">
        <v>4</v>
      </c>
      <c r="D94">
        <v>62.4</v>
      </c>
      <c r="E94">
        <v>249.6</v>
      </c>
      <c r="F94" s="12">
        <v>45740</v>
      </c>
      <c r="G94" s="12">
        <v>45741</v>
      </c>
      <c r="H94" t="s">
        <v>27</v>
      </c>
      <c r="I94" t="s">
        <v>18</v>
      </c>
      <c r="J94">
        <v>4</v>
      </c>
      <c r="K94" t="s">
        <v>19</v>
      </c>
      <c r="L94" t="s">
        <v>33</v>
      </c>
      <c r="M94">
        <v>1</v>
      </c>
      <c r="N94">
        <v>13</v>
      </c>
      <c r="O94" t="s">
        <v>2530</v>
      </c>
    </row>
    <row r="95" spans="1:15">
      <c r="A95" t="s">
        <v>2332</v>
      </c>
      <c r="B95" t="s">
        <v>26</v>
      </c>
      <c r="C95">
        <v>6</v>
      </c>
      <c r="D95">
        <v>105.6</v>
      </c>
      <c r="E95">
        <v>633.59999999999991</v>
      </c>
      <c r="F95" s="12">
        <v>45739</v>
      </c>
      <c r="G95" s="12">
        <v>45739</v>
      </c>
      <c r="H95" t="s">
        <v>27</v>
      </c>
      <c r="I95" t="s">
        <v>18</v>
      </c>
      <c r="J95">
        <v>4</v>
      </c>
      <c r="K95" t="s">
        <v>19</v>
      </c>
      <c r="L95" t="s">
        <v>33</v>
      </c>
      <c r="M95">
        <v>0</v>
      </c>
      <c r="N95">
        <v>13</v>
      </c>
      <c r="O95" t="s">
        <v>2530</v>
      </c>
    </row>
    <row r="96" spans="1:15">
      <c r="A96" t="s">
        <v>2331</v>
      </c>
      <c r="B96" t="s">
        <v>81</v>
      </c>
      <c r="C96">
        <v>1</v>
      </c>
      <c r="D96">
        <v>25</v>
      </c>
      <c r="E96">
        <v>25</v>
      </c>
      <c r="F96" s="12">
        <v>45739</v>
      </c>
      <c r="G96" s="12">
        <v>45742</v>
      </c>
      <c r="H96" t="s">
        <v>27</v>
      </c>
      <c r="I96" t="s">
        <v>18</v>
      </c>
      <c r="J96">
        <v>4</v>
      </c>
      <c r="K96" t="s">
        <v>19</v>
      </c>
      <c r="L96" t="s">
        <v>33</v>
      </c>
      <c r="M96">
        <v>3</v>
      </c>
      <c r="N96">
        <v>13</v>
      </c>
      <c r="O96" t="s">
        <v>2530</v>
      </c>
    </row>
    <row r="97" spans="1:15">
      <c r="A97" t="s">
        <v>2330</v>
      </c>
      <c r="B97" t="s">
        <v>44</v>
      </c>
      <c r="C97">
        <v>2</v>
      </c>
      <c r="D97">
        <v>18.399999999999999</v>
      </c>
      <c r="E97">
        <v>36.799999999999997</v>
      </c>
      <c r="F97" s="12">
        <v>45739</v>
      </c>
      <c r="G97" s="12">
        <v>45740</v>
      </c>
      <c r="H97" t="s">
        <v>23</v>
      </c>
      <c r="I97" t="s">
        <v>18</v>
      </c>
      <c r="J97">
        <v>4</v>
      </c>
      <c r="K97" t="s">
        <v>19</v>
      </c>
      <c r="L97" t="s">
        <v>33</v>
      </c>
      <c r="M97">
        <v>1</v>
      </c>
      <c r="N97">
        <v>13</v>
      </c>
      <c r="O97" t="s">
        <v>2531</v>
      </c>
    </row>
    <row r="98" spans="1:15">
      <c r="A98" t="s">
        <v>2329</v>
      </c>
      <c r="B98" t="s">
        <v>26</v>
      </c>
      <c r="C98">
        <v>2</v>
      </c>
      <c r="D98">
        <v>154.4</v>
      </c>
      <c r="E98">
        <v>308.8</v>
      </c>
      <c r="F98" s="12">
        <v>45739</v>
      </c>
      <c r="G98" s="12">
        <v>45742</v>
      </c>
      <c r="H98" t="s">
        <v>23</v>
      </c>
      <c r="I98" t="s">
        <v>35</v>
      </c>
      <c r="J98">
        <v>3</v>
      </c>
      <c r="K98" t="s">
        <v>19</v>
      </c>
      <c r="L98" t="s">
        <v>33</v>
      </c>
      <c r="M98">
        <v>3</v>
      </c>
      <c r="N98">
        <v>13</v>
      </c>
      <c r="O98" t="s">
        <v>2531</v>
      </c>
    </row>
    <row r="99" spans="1:15">
      <c r="A99" t="s">
        <v>2328</v>
      </c>
      <c r="B99" t="s">
        <v>46</v>
      </c>
      <c r="C99">
        <v>5</v>
      </c>
      <c r="D99">
        <v>22.6</v>
      </c>
      <c r="E99">
        <v>113</v>
      </c>
      <c r="F99" s="12">
        <v>45739</v>
      </c>
      <c r="G99" s="12">
        <v>45739</v>
      </c>
      <c r="H99" t="s">
        <v>27</v>
      </c>
      <c r="I99" t="s">
        <v>35</v>
      </c>
      <c r="J99">
        <v>5</v>
      </c>
      <c r="K99" t="s">
        <v>19</v>
      </c>
      <c r="L99" t="s">
        <v>33</v>
      </c>
      <c r="M99">
        <v>0</v>
      </c>
      <c r="N99">
        <v>13</v>
      </c>
      <c r="O99" t="s">
        <v>2530</v>
      </c>
    </row>
    <row r="100" spans="1:15">
      <c r="A100" t="s">
        <v>166</v>
      </c>
      <c r="B100" t="s">
        <v>67</v>
      </c>
      <c r="C100">
        <v>7</v>
      </c>
      <c r="D100">
        <v>63</v>
      </c>
      <c r="E100">
        <v>441</v>
      </c>
      <c r="F100" s="12">
        <v>45661</v>
      </c>
      <c r="G100" s="12">
        <v>45664</v>
      </c>
      <c r="H100" t="s">
        <v>23</v>
      </c>
      <c r="I100" t="s">
        <v>51</v>
      </c>
      <c r="J100">
        <v>5</v>
      </c>
      <c r="K100" t="s">
        <v>19</v>
      </c>
      <c r="L100" t="s">
        <v>33</v>
      </c>
      <c r="M100">
        <v>3</v>
      </c>
      <c r="N100">
        <v>1</v>
      </c>
      <c r="O100" t="s">
        <v>2531</v>
      </c>
    </row>
    <row r="101" spans="1:15">
      <c r="A101" t="s">
        <v>167</v>
      </c>
      <c r="B101" t="s">
        <v>26</v>
      </c>
      <c r="C101">
        <v>3</v>
      </c>
      <c r="D101">
        <v>93.6</v>
      </c>
      <c r="E101">
        <v>280.79999999999995</v>
      </c>
      <c r="F101" s="12">
        <v>45661</v>
      </c>
      <c r="G101" s="12">
        <v>45674</v>
      </c>
      <c r="H101" t="s">
        <v>27</v>
      </c>
      <c r="I101" t="s">
        <v>18</v>
      </c>
      <c r="J101">
        <v>5</v>
      </c>
      <c r="K101" t="s">
        <v>19</v>
      </c>
      <c r="L101" t="s">
        <v>33</v>
      </c>
      <c r="M101">
        <v>13</v>
      </c>
      <c r="N101">
        <v>1</v>
      </c>
      <c r="O101" t="s">
        <v>2530</v>
      </c>
    </row>
    <row r="102" spans="1:15">
      <c r="A102" t="s">
        <v>168</v>
      </c>
      <c r="B102" t="s">
        <v>37</v>
      </c>
      <c r="C102">
        <v>30</v>
      </c>
      <c r="D102">
        <v>41.4</v>
      </c>
      <c r="E102">
        <v>1242</v>
      </c>
      <c r="F102" s="12">
        <v>45661</v>
      </c>
      <c r="G102" s="12">
        <v>45665</v>
      </c>
      <c r="H102" t="s">
        <v>23</v>
      </c>
      <c r="I102" t="s">
        <v>40</v>
      </c>
      <c r="J102">
        <v>5</v>
      </c>
      <c r="K102" t="s">
        <v>19</v>
      </c>
      <c r="L102" t="s">
        <v>33</v>
      </c>
      <c r="M102">
        <v>4</v>
      </c>
      <c r="N102">
        <v>1</v>
      </c>
      <c r="O102" t="s">
        <v>2531</v>
      </c>
    </row>
    <row r="103" spans="1:15">
      <c r="A103" t="s">
        <v>2327</v>
      </c>
      <c r="B103" t="s">
        <v>44</v>
      </c>
      <c r="C103">
        <v>3</v>
      </c>
      <c r="D103">
        <v>26.1</v>
      </c>
      <c r="E103">
        <v>78.300000000000011</v>
      </c>
      <c r="F103" s="12">
        <v>45739</v>
      </c>
      <c r="G103" s="12">
        <v>45740</v>
      </c>
      <c r="H103" t="s">
        <v>27</v>
      </c>
      <c r="I103" t="s">
        <v>18</v>
      </c>
      <c r="J103">
        <v>4</v>
      </c>
      <c r="K103" t="s">
        <v>19</v>
      </c>
      <c r="L103" t="s">
        <v>33</v>
      </c>
      <c r="M103">
        <v>1</v>
      </c>
      <c r="N103">
        <v>13</v>
      </c>
      <c r="O103" t="s">
        <v>2530</v>
      </c>
    </row>
    <row r="104" spans="1:15">
      <c r="A104" t="s">
        <v>2326</v>
      </c>
      <c r="B104" t="s">
        <v>44</v>
      </c>
      <c r="C104">
        <v>5</v>
      </c>
      <c r="D104">
        <v>34.700000000000003</v>
      </c>
      <c r="E104">
        <v>173.5</v>
      </c>
      <c r="F104" s="12">
        <v>45739</v>
      </c>
      <c r="G104" s="12">
        <v>45740</v>
      </c>
      <c r="H104" t="s">
        <v>27</v>
      </c>
      <c r="I104" t="s">
        <v>18</v>
      </c>
      <c r="J104">
        <v>5</v>
      </c>
      <c r="K104" t="s">
        <v>19</v>
      </c>
      <c r="L104" t="s">
        <v>33</v>
      </c>
      <c r="M104">
        <v>1</v>
      </c>
      <c r="N104">
        <v>13</v>
      </c>
      <c r="O104" t="s">
        <v>2530</v>
      </c>
    </row>
    <row r="105" spans="1:15">
      <c r="A105" t="s">
        <v>2325</v>
      </c>
      <c r="B105" t="s">
        <v>32</v>
      </c>
      <c r="C105">
        <v>1</v>
      </c>
      <c r="D105">
        <v>35.299999999999997</v>
      </c>
      <c r="E105">
        <v>35.299999999999997</v>
      </c>
      <c r="F105" s="12">
        <v>45739</v>
      </c>
      <c r="G105" s="12">
        <v>45742</v>
      </c>
      <c r="H105" t="s">
        <v>27</v>
      </c>
      <c r="I105" t="s">
        <v>70</v>
      </c>
      <c r="J105">
        <v>5</v>
      </c>
      <c r="K105" t="s">
        <v>19</v>
      </c>
      <c r="L105" t="s">
        <v>33</v>
      </c>
      <c r="M105">
        <v>3</v>
      </c>
      <c r="N105">
        <v>13</v>
      </c>
      <c r="O105" t="s">
        <v>2530</v>
      </c>
    </row>
    <row r="106" spans="1:15">
      <c r="A106" t="s">
        <v>2324</v>
      </c>
      <c r="B106" t="s">
        <v>39</v>
      </c>
      <c r="C106">
        <v>1</v>
      </c>
      <c r="D106">
        <v>41.3</v>
      </c>
      <c r="E106">
        <v>41.3</v>
      </c>
      <c r="F106" s="12">
        <v>45739</v>
      </c>
      <c r="G106" s="12">
        <v>45739</v>
      </c>
      <c r="H106" t="s">
        <v>23</v>
      </c>
      <c r="I106" t="s">
        <v>70</v>
      </c>
      <c r="J106">
        <v>4</v>
      </c>
      <c r="K106" t="s">
        <v>19</v>
      </c>
      <c r="L106" t="s">
        <v>33</v>
      </c>
      <c r="M106">
        <v>0</v>
      </c>
      <c r="N106">
        <v>13</v>
      </c>
      <c r="O106" t="s">
        <v>2531</v>
      </c>
    </row>
    <row r="107" spans="1:15">
      <c r="A107" t="s">
        <v>2323</v>
      </c>
      <c r="B107" t="s">
        <v>44</v>
      </c>
      <c r="C107">
        <v>1</v>
      </c>
      <c r="D107">
        <v>70.5</v>
      </c>
      <c r="E107">
        <v>70.5</v>
      </c>
      <c r="F107" s="12">
        <v>45739</v>
      </c>
      <c r="G107" s="12">
        <v>45740</v>
      </c>
      <c r="H107" t="s">
        <v>23</v>
      </c>
      <c r="I107" t="s">
        <v>18</v>
      </c>
      <c r="J107">
        <v>4</v>
      </c>
      <c r="K107" t="s">
        <v>19</v>
      </c>
      <c r="L107" t="s">
        <v>33</v>
      </c>
      <c r="M107">
        <v>1</v>
      </c>
      <c r="N107">
        <v>13</v>
      </c>
      <c r="O107" t="s">
        <v>2531</v>
      </c>
    </row>
    <row r="108" spans="1:15">
      <c r="A108" t="s">
        <v>175</v>
      </c>
      <c r="B108" t="s">
        <v>123</v>
      </c>
      <c r="C108">
        <v>7</v>
      </c>
      <c r="D108">
        <v>31.2</v>
      </c>
      <c r="E108">
        <v>218.4</v>
      </c>
      <c r="F108" s="12">
        <v>45662</v>
      </c>
      <c r="G108" s="12">
        <v>45662</v>
      </c>
      <c r="H108" t="s">
        <v>27</v>
      </c>
      <c r="I108" t="s">
        <v>40</v>
      </c>
      <c r="J108">
        <v>5</v>
      </c>
      <c r="K108" t="s">
        <v>19</v>
      </c>
      <c r="L108" t="s">
        <v>33</v>
      </c>
      <c r="M108">
        <v>0</v>
      </c>
      <c r="N108">
        <v>2</v>
      </c>
      <c r="O108" t="s">
        <v>2530</v>
      </c>
    </row>
    <row r="109" spans="1:15">
      <c r="A109" t="s">
        <v>176</v>
      </c>
      <c r="B109" t="s">
        <v>44</v>
      </c>
      <c r="C109">
        <v>18</v>
      </c>
      <c r="D109">
        <v>32.6</v>
      </c>
      <c r="E109">
        <v>586.80000000000007</v>
      </c>
      <c r="F109" s="12">
        <v>45662</v>
      </c>
      <c r="G109" s="12">
        <v>45663</v>
      </c>
      <c r="H109" t="s">
        <v>23</v>
      </c>
      <c r="I109" t="s">
        <v>35</v>
      </c>
      <c r="J109">
        <v>3</v>
      </c>
      <c r="K109" t="s">
        <v>19</v>
      </c>
      <c r="L109" t="s">
        <v>33</v>
      </c>
      <c r="M109">
        <v>1</v>
      </c>
      <c r="N109">
        <v>2</v>
      </c>
      <c r="O109" t="s">
        <v>2531</v>
      </c>
    </row>
    <row r="110" spans="1:15">
      <c r="A110" t="s">
        <v>177</v>
      </c>
      <c r="B110" t="s">
        <v>54</v>
      </c>
      <c r="C110">
        <v>4</v>
      </c>
      <c r="D110">
        <v>45.4</v>
      </c>
      <c r="E110">
        <v>181.6</v>
      </c>
      <c r="F110" s="12">
        <v>45662</v>
      </c>
      <c r="G110" s="12">
        <v>45664</v>
      </c>
      <c r="H110" t="s">
        <v>23</v>
      </c>
      <c r="I110" t="s">
        <v>35</v>
      </c>
      <c r="J110">
        <v>4</v>
      </c>
      <c r="K110" t="s">
        <v>19</v>
      </c>
      <c r="L110" t="s">
        <v>33</v>
      </c>
      <c r="M110">
        <v>2</v>
      </c>
      <c r="N110">
        <v>2</v>
      </c>
      <c r="O110" t="s">
        <v>2531</v>
      </c>
    </row>
    <row r="111" spans="1:15">
      <c r="A111" t="s">
        <v>178</v>
      </c>
      <c r="B111" t="s">
        <v>26</v>
      </c>
      <c r="C111">
        <v>12</v>
      </c>
      <c r="D111">
        <v>120</v>
      </c>
      <c r="E111">
        <v>1440</v>
      </c>
      <c r="F111" s="12">
        <v>45662</v>
      </c>
      <c r="G111" s="12">
        <v>45663</v>
      </c>
      <c r="H111" t="s">
        <v>27</v>
      </c>
      <c r="I111" t="s">
        <v>40</v>
      </c>
      <c r="J111">
        <v>2</v>
      </c>
      <c r="K111" t="s">
        <v>19</v>
      </c>
      <c r="L111" t="s">
        <v>33</v>
      </c>
      <c r="M111">
        <v>1</v>
      </c>
      <c r="N111">
        <v>2</v>
      </c>
      <c r="O111" t="s">
        <v>2530</v>
      </c>
    </row>
    <row r="112" spans="1:15">
      <c r="A112" t="s">
        <v>179</v>
      </c>
      <c r="B112" t="s">
        <v>16</v>
      </c>
      <c r="C112">
        <v>4</v>
      </c>
      <c r="D112">
        <v>18.899999999999999</v>
      </c>
      <c r="E112">
        <v>75.599999999999994</v>
      </c>
      <c r="F112" s="12">
        <v>45662</v>
      </c>
      <c r="G112" s="12">
        <v>45664</v>
      </c>
      <c r="H112" t="s">
        <v>23</v>
      </c>
      <c r="I112" t="s">
        <v>18</v>
      </c>
      <c r="J112">
        <v>5</v>
      </c>
      <c r="K112" t="s">
        <v>19</v>
      </c>
      <c r="L112" t="s">
        <v>33</v>
      </c>
      <c r="M112">
        <v>2</v>
      </c>
      <c r="N112">
        <v>2</v>
      </c>
      <c r="O112" t="s">
        <v>2531</v>
      </c>
    </row>
    <row r="113" spans="1:15">
      <c r="A113" t="s">
        <v>180</v>
      </c>
      <c r="B113" t="s">
        <v>32</v>
      </c>
      <c r="C113">
        <v>1</v>
      </c>
      <c r="D113">
        <v>32</v>
      </c>
      <c r="E113">
        <v>32</v>
      </c>
      <c r="F113" s="12">
        <v>45662</v>
      </c>
      <c r="G113" s="12">
        <v>45664</v>
      </c>
      <c r="H113" t="s">
        <v>27</v>
      </c>
      <c r="I113" t="s">
        <v>70</v>
      </c>
      <c r="J113">
        <v>4</v>
      </c>
      <c r="K113" t="s">
        <v>19</v>
      </c>
      <c r="L113" t="s">
        <v>33</v>
      </c>
      <c r="M113">
        <v>2</v>
      </c>
      <c r="N113">
        <v>2</v>
      </c>
      <c r="O113" t="s">
        <v>2530</v>
      </c>
    </row>
    <row r="114" spans="1:15">
      <c r="A114" t="s">
        <v>181</v>
      </c>
      <c r="B114" t="s">
        <v>42</v>
      </c>
      <c r="C114">
        <v>2</v>
      </c>
      <c r="D114">
        <v>37.299999999999997</v>
      </c>
      <c r="E114">
        <v>74.599999999999994</v>
      </c>
      <c r="F114" s="12">
        <v>45662</v>
      </c>
      <c r="G114" s="12">
        <v>45663</v>
      </c>
      <c r="H114" t="s">
        <v>23</v>
      </c>
      <c r="I114" t="s">
        <v>40</v>
      </c>
      <c r="J114">
        <v>4</v>
      </c>
      <c r="K114" t="s">
        <v>19</v>
      </c>
      <c r="L114" t="s">
        <v>33</v>
      </c>
      <c r="M114">
        <v>1</v>
      </c>
      <c r="N114">
        <v>2</v>
      </c>
      <c r="O114" t="s">
        <v>2531</v>
      </c>
    </row>
    <row r="115" spans="1:15">
      <c r="A115" t="s">
        <v>182</v>
      </c>
      <c r="B115" t="s">
        <v>146</v>
      </c>
      <c r="C115">
        <v>1</v>
      </c>
      <c r="D115">
        <v>119.8</v>
      </c>
      <c r="E115">
        <v>119.8</v>
      </c>
      <c r="F115" s="12">
        <v>45662</v>
      </c>
      <c r="G115" s="12">
        <v>45663</v>
      </c>
      <c r="H115" t="s">
        <v>23</v>
      </c>
      <c r="I115" t="s">
        <v>35</v>
      </c>
      <c r="J115">
        <v>3</v>
      </c>
      <c r="K115" t="s">
        <v>19</v>
      </c>
      <c r="L115" t="s">
        <v>33</v>
      </c>
      <c r="M115">
        <v>1</v>
      </c>
      <c r="N115">
        <v>2</v>
      </c>
      <c r="O115" t="s">
        <v>2531</v>
      </c>
    </row>
    <row r="116" spans="1:15">
      <c r="A116" t="s">
        <v>183</v>
      </c>
      <c r="B116" t="s">
        <v>54</v>
      </c>
      <c r="C116">
        <v>2</v>
      </c>
      <c r="D116">
        <v>26.4</v>
      </c>
      <c r="E116">
        <v>52.8</v>
      </c>
      <c r="F116" s="12">
        <v>45662</v>
      </c>
      <c r="G116" s="12">
        <v>45665</v>
      </c>
      <c r="H116" t="s">
        <v>23</v>
      </c>
      <c r="I116" t="s">
        <v>40</v>
      </c>
      <c r="J116">
        <v>4</v>
      </c>
      <c r="K116" t="s">
        <v>19</v>
      </c>
      <c r="L116" t="s">
        <v>33</v>
      </c>
      <c r="M116">
        <v>3</v>
      </c>
      <c r="N116">
        <v>2</v>
      </c>
      <c r="O116" t="s">
        <v>2531</v>
      </c>
    </row>
    <row r="117" spans="1:15">
      <c r="A117" t="s">
        <v>184</v>
      </c>
      <c r="B117" t="s">
        <v>39</v>
      </c>
      <c r="C117">
        <v>6</v>
      </c>
      <c r="D117">
        <v>76.5</v>
      </c>
      <c r="E117">
        <v>459</v>
      </c>
      <c r="F117" s="12">
        <v>45662</v>
      </c>
      <c r="G117" s="12">
        <v>45663</v>
      </c>
      <c r="H117" t="s">
        <v>27</v>
      </c>
      <c r="I117" t="s">
        <v>35</v>
      </c>
      <c r="J117">
        <v>3</v>
      </c>
      <c r="K117" t="s">
        <v>19</v>
      </c>
      <c r="L117" t="s">
        <v>33</v>
      </c>
      <c r="M117">
        <v>1</v>
      </c>
      <c r="N117">
        <v>2</v>
      </c>
      <c r="O117" t="s">
        <v>2530</v>
      </c>
    </row>
    <row r="118" spans="1:15">
      <c r="A118" t="s">
        <v>2316</v>
      </c>
      <c r="B118" t="s">
        <v>46</v>
      </c>
      <c r="C118">
        <v>11</v>
      </c>
      <c r="D118">
        <v>50.5</v>
      </c>
      <c r="E118">
        <v>555.5</v>
      </c>
      <c r="F118" s="12">
        <v>45738</v>
      </c>
      <c r="G118" s="12">
        <v>45740</v>
      </c>
      <c r="H118" t="s">
        <v>23</v>
      </c>
      <c r="I118" t="s">
        <v>40</v>
      </c>
      <c r="J118">
        <v>4</v>
      </c>
      <c r="K118" t="s">
        <v>19</v>
      </c>
      <c r="L118" t="s">
        <v>33</v>
      </c>
      <c r="M118">
        <v>2</v>
      </c>
      <c r="N118">
        <v>12</v>
      </c>
      <c r="O118" t="s">
        <v>2531</v>
      </c>
    </row>
    <row r="119" spans="1:15">
      <c r="A119" t="s">
        <v>2315</v>
      </c>
      <c r="B119" t="s">
        <v>69</v>
      </c>
      <c r="C119">
        <v>8</v>
      </c>
      <c r="D119">
        <v>47.5</v>
      </c>
      <c r="E119">
        <v>380</v>
      </c>
      <c r="F119" s="12">
        <v>45738</v>
      </c>
      <c r="G119" s="12">
        <v>45746</v>
      </c>
      <c r="H119" t="s">
        <v>27</v>
      </c>
      <c r="I119" t="s">
        <v>18</v>
      </c>
      <c r="J119">
        <v>4</v>
      </c>
      <c r="K119" t="s">
        <v>19</v>
      </c>
      <c r="L119" t="s">
        <v>33</v>
      </c>
      <c r="M119">
        <v>8</v>
      </c>
      <c r="N119">
        <v>12</v>
      </c>
      <c r="O119" t="s">
        <v>2530</v>
      </c>
    </row>
    <row r="120" spans="1:15">
      <c r="A120" t="s">
        <v>2314</v>
      </c>
      <c r="B120" t="s">
        <v>16</v>
      </c>
      <c r="C120">
        <v>3</v>
      </c>
      <c r="D120">
        <v>11.4</v>
      </c>
      <c r="E120">
        <v>34.200000000000003</v>
      </c>
      <c r="F120" s="12">
        <v>45738</v>
      </c>
      <c r="G120" s="12">
        <v>45739</v>
      </c>
      <c r="H120" t="s">
        <v>23</v>
      </c>
      <c r="I120" t="s">
        <v>70</v>
      </c>
      <c r="J120">
        <v>4</v>
      </c>
      <c r="K120" t="s">
        <v>19</v>
      </c>
      <c r="L120" t="s">
        <v>33</v>
      </c>
      <c r="M120">
        <v>1</v>
      </c>
      <c r="N120">
        <v>12</v>
      </c>
      <c r="O120" t="s">
        <v>2531</v>
      </c>
    </row>
    <row r="121" spans="1:15">
      <c r="A121" t="s">
        <v>2313</v>
      </c>
      <c r="B121" t="s">
        <v>146</v>
      </c>
      <c r="C121">
        <v>3</v>
      </c>
      <c r="D121">
        <v>84</v>
      </c>
      <c r="E121">
        <v>252</v>
      </c>
      <c r="F121" s="12">
        <v>45738</v>
      </c>
      <c r="G121" s="12">
        <v>45740</v>
      </c>
      <c r="H121" t="s">
        <v>17</v>
      </c>
      <c r="I121" t="s">
        <v>51</v>
      </c>
      <c r="J121">
        <v>5</v>
      </c>
      <c r="K121" t="s">
        <v>19</v>
      </c>
      <c r="L121" t="s">
        <v>33</v>
      </c>
      <c r="M121">
        <v>2</v>
      </c>
      <c r="N121">
        <v>12</v>
      </c>
      <c r="O121" t="s">
        <v>2533</v>
      </c>
    </row>
    <row r="122" spans="1:15">
      <c r="A122" t="s">
        <v>2312</v>
      </c>
      <c r="B122" t="s">
        <v>39</v>
      </c>
      <c r="C122">
        <v>1</v>
      </c>
      <c r="D122">
        <v>43.9</v>
      </c>
      <c r="E122">
        <v>43.9</v>
      </c>
      <c r="F122" s="12">
        <v>45738</v>
      </c>
      <c r="G122" s="12">
        <v>45739</v>
      </c>
      <c r="H122" t="s">
        <v>23</v>
      </c>
      <c r="I122" t="s">
        <v>18</v>
      </c>
      <c r="J122">
        <v>4</v>
      </c>
      <c r="K122" t="s">
        <v>19</v>
      </c>
      <c r="L122" t="s">
        <v>33</v>
      </c>
      <c r="M122">
        <v>1</v>
      </c>
      <c r="N122">
        <v>12</v>
      </c>
      <c r="O122" t="s">
        <v>2531</v>
      </c>
    </row>
    <row r="123" spans="1:15">
      <c r="A123" t="s">
        <v>2311</v>
      </c>
      <c r="B123" t="s">
        <v>22</v>
      </c>
      <c r="C123">
        <v>2</v>
      </c>
      <c r="D123">
        <v>78.3</v>
      </c>
      <c r="E123">
        <v>156.6</v>
      </c>
      <c r="F123" s="12">
        <v>45738</v>
      </c>
      <c r="G123" s="12">
        <v>45740</v>
      </c>
      <c r="H123" t="s">
        <v>27</v>
      </c>
      <c r="I123" t="s">
        <v>35</v>
      </c>
      <c r="J123">
        <v>3</v>
      </c>
      <c r="K123" t="s">
        <v>19</v>
      </c>
      <c r="L123" t="s">
        <v>33</v>
      </c>
      <c r="M123">
        <v>2</v>
      </c>
      <c r="N123">
        <v>12</v>
      </c>
      <c r="O123" t="s">
        <v>2530</v>
      </c>
    </row>
    <row r="124" spans="1:15">
      <c r="A124" t="s">
        <v>2290</v>
      </c>
      <c r="B124" t="s">
        <v>42</v>
      </c>
      <c r="C124">
        <v>6</v>
      </c>
      <c r="D124">
        <v>90.5</v>
      </c>
      <c r="E124">
        <v>543</v>
      </c>
      <c r="F124" s="12">
        <v>45737</v>
      </c>
      <c r="G124" s="12">
        <v>45738</v>
      </c>
      <c r="H124" t="s">
        <v>27</v>
      </c>
      <c r="I124" t="s">
        <v>35</v>
      </c>
      <c r="J124">
        <v>2</v>
      </c>
      <c r="K124" t="s">
        <v>19</v>
      </c>
      <c r="L124" t="s">
        <v>33</v>
      </c>
      <c r="M124">
        <v>1</v>
      </c>
      <c r="N124">
        <v>12</v>
      </c>
      <c r="O124" t="s">
        <v>2530</v>
      </c>
    </row>
    <row r="125" spans="1:15">
      <c r="A125" t="s">
        <v>2289</v>
      </c>
      <c r="B125" t="s">
        <v>67</v>
      </c>
      <c r="C125">
        <v>2</v>
      </c>
      <c r="D125">
        <v>51.2</v>
      </c>
      <c r="E125">
        <v>102.4</v>
      </c>
      <c r="F125" s="12">
        <v>45737</v>
      </c>
      <c r="G125" s="12">
        <v>45738</v>
      </c>
      <c r="H125" t="s">
        <v>27</v>
      </c>
      <c r="I125" t="s">
        <v>35</v>
      </c>
      <c r="J125">
        <v>5</v>
      </c>
      <c r="K125" t="s">
        <v>19</v>
      </c>
      <c r="L125" t="s">
        <v>33</v>
      </c>
      <c r="M125">
        <v>1</v>
      </c>
      <c r="N125">
        <v>12</v>
      </c>
      <c r="O125" t="s">
        <v>2530</v>
      </c>
    </row>
    <row r="126" spans="1:15">
      <c r="A126" t="s">
        <v>2288</v>
      </c>
      <c r="B126" t="s">
        <v>16</v>
      </c>
      <c r="C126">
        <v>7</v>
      </c>
      <c r="D126">
        <v>11.2</v>
      </c>
      <c r="E126">
        <v>78.399999999999991</v>
      </c>
      <c r="F126" s="12">
        <v>45737</v>
      </c>
      <c r="G126" s="12">
        <v>45740</v>
      </c>
      <c r="H126" t="s">
        <v>23</v>
      </c>
      <c r="I126" t="s">
        <v>35</v>
      </c>
      <c r="J126">
        <v>4</v>
      </c>
      <c r="K126" t="s">
        <v>19</v>
      </c>
      <c r="L126" t="s">
        <v>33</v>
      </c>
      <c r="M126">
        <v>3</v>
      </c>
      <c r="N126">
        <v>12</v>
      </c>
      <c r="O126" t="s">
        <v>2531</v>
      </c>
    </row>
    <row r="127" spans="1:15">
      <c r="A127" t="s">
        <v>2287</v>
      </c>
      <c r="B127" t="s">
        <v>44</v>
      </c>
      <c r="C127">
        <v>1</v>
      </c>
      <c r="D127">
        <v>24.8</v>
      </c>
      <c r="E127">
        <v>24.8</v>
      </c>
      <c r="F127" s="12">
        <v>45737</v>
      </c>
      <c r="G127" s="12">
        <v>45738</v>
      </c>
      <c r="H127" t="s">
        <v>23</v>
      </c>
      <c r="I127" t="s">
        <v>70</v>
      </c>
      <c r="J127">
        <v>4</v>
      </c>
      <c r="K127" t="s">
        <v>19</v>
      </c>
      <c r="L127" t="s">
        <v>33</v>
      </c>
      <c r="M127">
        <v>1</v>
      </c>
      <c r="N127">
        <v>12</v>
      </c>
      <c r="O127" t="s">
        <v>2531</v>
      </c>
    </row>
    <row r="128" spans="1:15">
      <c r="A128" t="s">
        <v>2286</v>
      </c>
      <c r="B128" t="s">
        <v>44</v>
      </c>
      <c r="C128">
        <v>3</v>
      </c>
      <c r="D128">
        <v>20.6</v>
      </c>
      <c r="E128">
        <v>61.800000000000004</v>
      </c>
      <c r="F128" s="12">
        <v>45737</v>
      </c>
      <c r="G128" s="12">
        <v>45741</v>
      </c>
      <c r="H128" t="s">
        <v>27</v>
      </c>
      <c r="I128" t="s">
        <v>70</v>
      </c>
      <c r="J128">
        <v>5</v>
      </c>
      <c r="K128" t="s">
        <v>19</v>
      </c>
      <c r="L128" t="s">
        <v>33</v>
      </c>
      <c r="M128">
        <v>4</v>
      </c>
      <c r="N128">
        <v>12</v>
      </c>
      <c r="O128" t="s">
        <v>2530</v>
      </c>
    </row>
    <row r="129" spans="1:15">
      <c r="A129" t="s">
        <v>2285</v>
      </c>
      <c r="B129" t="s">
        <v>135</v>
      </c>
      <c r="C129">
        <v>13</v>
      </c>
      <c r="D129">
        <v>51.6</v>
      </c>
      <c r="E129">
        <v>670.80000000000007</v>
      </c>
      <c r="F129" s="12">
        <v>45737</v>
      </c>
      <c r="G129" s="12">
        <v>45740</v>
      </c>
      <c r="H129" t="s">
        <v>89</v>
      </c>
      <c r="I129" t="s">
        <v>35</v>
      </c>
      <c r="J129">
        <v>5</v>
      </c>
      <c r="K129" t="s">
        <v>19</v>
      </c>
      <c r="L129" t="s">
        <v>33</v>
      </c>
      <c r="M129">
        <v>3</v>
      </c>
      <c r="N129">
        <v>12</v>
      </c>
      <c r="O129" t="s">
        <v>2532</v>
      </c>
    </row>
    <row r="130" spans="1:15">
      <c r="A130" t="s">
        <v>2284</v>
      </c>
      <c r="B130" t="s">
        <v>44</v>
      </c>
      <c r="C130">
        <v>1</v>
      </c>
      <c r="D130">
        <v>30.7</v>
      </c>
      <c r="E130">
        <v>30.7</v>
      </c>
      <c r="F130" s="12">
        <v>45737</v>
      </c>
      <c r="G130" s="12">
        <v>45738</v>
      </c>
      <c r="H130" t="s">
        <v>23</v>
      </c>
      <c r="I130" t="s">
        <v>18</v>
      </c>
      <c r="J130">
        <v>4</v>
      </c>
      <c r="K130" t="s">
        <v>19</v>
      </c>
      <c r="L130" t="s">
        <v>33</v>
      </c>
      <c r="M130">
        <v>1</v>
      </c>
      <c r="N130">
        <v>12</v>
      </c>
      <c r="O130" t="s">
        <v>2531</v>
      </c>
    </row>
    <row r="131" spans="1:15">
      <c r="A131" t="s">
        <v>2283</v>
      </c>
      <c r="B131" t="s">
        <v>42</v>
      </c>
      <c r="C131">
        <v>2</v>
      </c>
      <c r="D131">
        <v>68</v>
      </c>
      <c r="E131">
        <v>136</v>
      </c>
      <c r="F131" s="12">
        <v>45737</v>
      </c>
      <c r="G131" s="12">
        <v>45747</v>
      </c>
      <c r="H131" t="s">
        <v>23</v>
      </c>
      <c r="I131" t="s">
        <v>40</v>
      </c>
      <c r="J131">
        <v>3</v>
      </c>
      <c r="K131" t="s">
        <v>19</v>
      </c>
      <c r="L131" t="s">
        <v>33</v>
      </c>
      <c r="M131">
        <v>10</v>
      </c>
      <c r="N131">
        <v>12</v>
      </c>
      <c r="O131" t="s">
        <v>2531</v>
      </c>
    </row>
    <row r="132" spans="1:15">
      <c r="A132" t="s">
        <v>2282</v>
      </c>
      <c r="B132" t="s">
        <v>16</v>
      </c>
      <c r="C132">
        <v>4</v>
      </c>
      <c r="D132">
        <v>14.2</v>
      </c>
      <c r="E132">
        <v>56.8</v>
      </c>
      <c r="F132" s="12">
        <v>45737</v>
      </c>
      <c r="G132" s="12">
        <v>45738</v>
      </c>
      <c r="H132" t="s">
        <v>23</v>
      </c>
      <c r="I132" t="s">
        <v>18</v>
      </c>
      <c r="J132">
        <v>5</v>
      </c>
      <c r="K132" t="s">
        <v>19</v>
      </c>
      <c r="L132" t="s">
        <v>33</v>
      </c>
      <c r="M132">
        <v>1</v>
      </c>
      <c r="N132">
        <v>12</v>
      </c>
      <c r="O132" t="s">
        <v>2531</v>
      </c>
    </row>
    <row r="133" spans="1:15">
      <c r="A133" t="s">
        <v>2281</v>
      </c>
      <c r="B133" t="s">
        <v>67</v>
      </c>
      <c r="C133">
        <v>30</v>
      </c>
      <c r="D133">
        <v>27</v>
      </c>
      <c r="E133">
        <v>810</v>
      </c>
      <c r="F133" s="12">
        <v>45737</v>
      </c>
      <c r="G133" s="12">
        <v>45738</v>
      </c>
      <c r="H133" t="s">
        <v>27</v>
      </c>
      <c r="I133" t="s">
        <v>70</v>
      </c>
      <c r="J133">
        <v>4</v>
      </c>
      <c r="K133" t="s">
        <v>19</v>
      </c>
      <c r="L133" t="s">
        <v>33</v>
      </c>
      <c r="M133">
        <v>1</v>
      </c>
      <c r="N133">
        <v>12</v>
      </c>
      <c r="O133" t="s">
        <v>2530</v>
      </c>
    </row>
    <row r="134" spans="1:15">
      <c r="A134" t="s">
        <v>2280</v>
      </c>
      <c r="B134" t="s">
        <v>76</v>
      </c>
      <c r="C134">
        <v>1</v>
      </c>
      <c r="D134">
        <v>58.4</v>
      </c>
      <c r="E134">
        <v>58.4</v>
      </c>
      <c r="F134" s="12">
        <v>45737</v>
      </c>
      <c r="G134" s="12">
        <v>45738</v>
      </c>
      <c r="H134" t="s">
        <v>27</v>
      </c>
      <c r="I134" t="s">
        <v>40</v>
      </c>
      <c r="J134">
        <v>5</v>
      </c>
      <c r="K134" t="s">
        <v>19</v>
      </c>
      <c r="L134" t="s">
        <v>33</v>
      </c>
      <c r="M134">
        <v>1</v>
      </c>
      <c r="N134">
        <v>12</v>
      </c>
      <c r="O134" t="s">
        <v>2530</v>
      </c>
    </row>
    <row r="135" spans="1:15">
      <c r="A135" t="s">
        <v>2279</v>
      </c>
      <c r="B135" t="s">
        <v>81</v>
      </c>
      <c r="C135">
        <v>2</v>
      </c>
      <c r="D135">
        <v>25.6</v>
      </c>
      <c r="E135">
        <v>51.2</v>
      </c>
      <c r="F135" s="12">
        <v>45737</v>
      </c>
      <c r="G135" s="12">
        <v>45738</v>
      </c>
      <c r="H135" t="s">
        <v>27</v>
      </c>
      <c r="I135" t="s">
        <v>35</v>
      </c>
      <c r="J135">
        <v>3</v>
      </c>
      <c r="K135" t="s">
        <v>19</v>
      </c>
      <c r="L135" t="s">
        <v>33</v>
      </c>
      <c r="M135">
        <v>1</v>
      </c>
      <c r="N135">
        <v>12</v>
      </c>
      <c r="O135" t="s">
        <v>2530</v>
      </c>
    </row>
    <row r="136" spans="1:15">
      <c r="A136" t="s">
        <v>2252</v>
      </c>
      <c r="B136" t="s">
        <v>22</v>
      </c>
      <c r="C136">
        <v>1</v>
      </c>
      <c r="D136">
        <v>63</v>
      </c>
      <c r="E136">
        <v>63</v>
      </c>
      <c r="F136" s="12">
        <v>45736</v>
      </c>
      <c r="G136" s="12">
        <v>45739</v>
      </c>
      <c r="H136" t="s">
        <v>23</v>
      </c>
      <c r="I136" t="s">
        <v>51</v>
      </c>
      <c r="J136">
        <v>4</v>
      </c>
      <c r="K136" t="s">
        <v>19</v>
      </c>
      <c r="L136" t="s">
        <v>33</v>
      </c>
      <c r="M136">
        <v>3</v>
      </c>
      <c r="N136">
        <v>12</v>
      </c>
      <c r="O136" t="s">
        <v>2531</v>
      </c>
    </row>
    <row r="137" spans="1:15">
      <c r="A137" t="s">
        <v>2251</v>
      </c>
      <c r="B137" t="s">
        <v>69</v>
      </c>
      <c r="C137">
        <v>2</v>
      </c>
      <c r="D137">
        <v>87.3</v>
      </c>
      <c r="E137">
        <v>174.6</v>
      </c>
      <c r="F137" s="12">
        <v>45736</v>
      </c>
      <c r="G137" s="12">
        <v>45744</v>
      </c>
      <c r="H137" t="s">
        <v>27</v>
      </c>
      <c r="I137" t="s">
        <v>51</v>
      </c>
      <c r="J137">
        <v>5</v>
      </c>
      <c r="K137" t="s">
        <v>19</v>
      </c>
      <c r="L137" t="s">
        <v>33</v>
      </c>
      <c r="M137">
        <v>8</v>
      </c>
      <c r="N137">
        <v>12</v>
      </c>
      <c r="O137" t="s">
        <v>2530</v>
      </c>
    </row>
    <row r="138" spans="1:15">
      <c r="A138" t="s">
        <v>2250</v>
      </c>
      <c r="B138" t="s">
        <v>22</v>
      </c>
      <c r="C138">
        <v>2</v>
      </c>
      <c r="D138">
        <v>76.599999999999994</v>
      </c>
      <c r="E138">
        <v>153.19999999999999</v>
      </c>
      <c r="F138" s="12">
        <v>45736</v>
      </c>
      <c r="G138" s="12">
        <v>45736</v>
      </c>
      <c r="H138" t="s">
        <v>23</v>
      </c>
      <c r="I138" t="s">
        <v>18</v>
      </c>
      <c r="J138">
        <v>5</v>
      </c>
      <c r="K138" t="s">
        <v>19</v>
      </c>
      <c r="L138" t="s">
        <v>33</v>
      </c>
      <c r="M138">
        <v>0</v>
      </c>
      <c r="N138">
        <v>12</v>
      </c>
      <c r="O138" t="s">
        <v>2531</v>
      </c>
    </row>
    <row r="139" spans="1:15">
      <c r="A139" t="s">
        <v>210</v>
      </c>
      <c r="B139" t="s">
        <v>37</v>
      </c>
      <c r="C139">
        <v>7</v>
      </c>
      <c r="D139">
        <v>36.4</v>
      </c>
      <c r="E139">
        <v>254.79999999999998</v>
      </c>
      <c r="F139" s="12">
        <v>45663</v>
      </c>
      <c r="G139" s="12">
        <v>45666</v>
      </c>
      <c r="H139" t="s">
        <v>27</v>
      </c>
      <c r="I139" t="s">
        <v>18</v>
      </c>
      <c r="J139">
        <v>3</v>
      </c>
      <c r="K139" t="s">
        <v>19</v>
      </c>
      <c r="L139" t="s">
        <v>33</v>
      </c>
      <c r="M139">
        <v>3</v>
      </c>
      <c r="N139">
        <v>2</v>
      </c>
      <c r="O139" t="s">
        <v>2530</v>
      </c>
    </row>
    <row r="140" spans="1:15">
      <c r="A140" t="s">
        <v>211</v>
      </c>
      <c r="B140" t="s">
        <v>16</v>
      </c>
      <c r="C140">
        <v>1</v>
      </c>
      <c r="D140">
        <v>19</v>
      </c>
      <c r="E140">
        <v>19</v>
      </c>
      <c r="F140" s="12">
        <v>45663</v>
      </c>
      <c r="G140" s="12">
        <v>45668</v>
      </c>
      <c r="H140" t="s">
        <v>27</v>
      </c>
      <c r="I140" t="s">
        <v>35</v>
      </c>
      <c r="J140">
        <v>5</v>
      </c>
      <c r="K140" t="s">
        <v>19</v>
      </c>
      <c r="L140" t="s">
        <v>33</v>
      </c>
      <c r="M140">
        <v>5</v>
      </c>
      <c r="N140">
        <v>2</v>
      </c>
      <c r="O140" t="s">
        <v>2530</v>
      </c>
    </row>
    <row r="141" spans="1:15">
      <c r="A141" t="s">
        <v>212</v>
      </c>
      <c r="B141" t="s">
        <v>44</v>
      </c>
      <c r="C141">
        <v>1</v>
      </c>
      <c r="D141">
        <v>17.8</v>
      </c>
      <c r="E141">
        <v>17.8</v>
      </c>
      <c r="F141" s="12">
        <v>45663</v>
      </c>
      <c r="G141" s="12">
        <v>45663</v>
      </c>
      <c r="H141" t="s">
        <v>23</v>
      </c>
      <c r="I141" t="s">
        <v>18</v>
      </c>
      <c r="J141">
        <v>4</v>
      </c>
      <c r="K141" t="s">
        <v>19</v>
      </c>
      <c r="L141" t="s">
        <v>33</v>
      </c>
      <c r="M141">
        <v>0</v>
      </c>
      <c r="N141">
        <v>2</v>
      </c>
      <c r="O141" t="s">
        <v>2531</v>
      </c>
    </row>
    <row r="142" spans="1:15">
      <c r="A142" t="s">
        <v>213</v>
      </c>
      <c r="B142" t="s">
        <v>26</v>
      </c>
      <c r="C142">
        <v>6</v>
      </c>
      <c r="D142">
        <v>139.6</v>
      </c>
      <c r="E142">
        <v>837.59999999999991</v>
      </c>
      <c r="F142" s="12">
        <v>45663</v>
      </c>
      <c r="G142" s="12">
        <v>45666</v>
      </c>
      <c r="H142" t="s">
        <v>23</v>
      </c>
      <c r="I142" t="s">
        <v>18</v>
      </c>
      <c r="J142">
        <v>4</v>
      </c>
      <c r="K142" t="s">
        <v>19</v>
      </c>
      <c r="L142" t="s">
        <v>33</v>
      </c>
      <c r="M142">
        <v>3</v>
      </c>
      <c r="N142">
        <v>2</v>
      </c>
      <c r="O142" t="s">
        <v>2531</v>
      </c>
    </row>
    <row r="143" spans="1:15">
      <c r="A143" t="s">
        <v>214</v>
      </c>
      <c r="B143" t="s">
        <v>46</v>
      </c>
      <c r="C143">
        <v>1</v>
      </c>
      <c r="D143">
        <v>31.7</v>
      </c>
      <c r="E143">
        <v>31.7</v>
      </c>
      <c r="F143" s="12">
        <v>45663</v>
      </c>
      <c r="G143" s="12">
        <v>45663</v>
      </c>
      <c r="H143" t="s">
        <v>17</v>
      </c>
      <c r="I143" t="s">
        <v>18</v>
      </c>
      <c r="J143">
        <v>4</v>
      </c>
      <c r="K143" t="s">
        <v>19</v>
      </c>
      <c r="L143" t="s">
        <v>33</v>
      </c>
      <c r="M143">
        <v>0</v>
      </c>
      <c r="N143">
        <v>2</v>
      </c>
      <c r="O143" t="s">
        <v>2533</v>
      </c>
    </row>
    <row r="144" spans="1:15">
      <c r="A144" t="s">
        <v>215</v>
      </c>
      <c r="B144" t="s">
        <v>44</v>
      </c>
      <c r="C144">
        <v>8</v>
      </c>
      <c r="D144">
        <v>26.3</v>
      </c>
      <c r="E144">
        <v>210.4</v>
      </c>
      <c r="F144" s="12">
        <v>45663</v>
      </c>
      <c r="G144" s="12">
        <v>45666</v>
      </c>
      <c r="H144" t="s">
        <v>27</v>
      </c>
      <c r="I144" t="s">
        <v>70</v>
      </c>
      <c r="J144">
        <v>2</v>
      </c>
      <c r="K144" t="s">
        <v>19</v>
      </c>
      <c r="L144" t="s">
        <v>33</v>
      </c>
      <c r="M144">
        <v>3</v>
      </c>
      <c r="N144">
        <v>2</v>
      </c>
      <c r="O144" t="s">
        <v>2530</v>
      </c>
    </row>
    <row r="145" spans="1:15">
      <c r="A145" t="s">
        <v>216</v>
      </c>
      <c r="B145" t="s">
        <v>32</v>
      </c>
      <c r="C145">
        <v>2</v>
      </c>
      <c r="D145">
        <v>47.8</v>
      </c>
      <c r="E145">
        <v>95.6</v>
      </c>
      <c r="F145" s="12">
        <v>45663</v>
      </c>
      <c r="G145" s="12">
        <v>45664</v>
      </c>
      <c r="H145" t="s">
        <v>17</v>
      </c>
      <c r="I145" t="s">
        <v>18</v>
      </c>
      <c r="J145">
        <v>4</v>
      </c>
      <c r="K145" t="s">
        <v>19</v>
      </c>
      <c r="L145" t="s">
        <v>33</v>
      </c>
      <c r="M145">
        <v>1</v>
      </c>
      <c r="N145">
        <v>2</v>
      </c>
      <c r="O145" t="s">
        <v>2533</v>
      </c>
    </row>
    <row r="146" spans="1:15">
      <c r="A146" t="s">
        <v>217</v>
      </c>
      <c r="B146" t="s">
        <v>46</v>
      </c>
      <c r="C146">
        <v>3</v>
      </c>
      <c r="D146">
        <v>69.400000000000006</v>
      </c>
      <c r="E146">
        <v>208.20000000000002</v>
      </c>
      <c r="F146" s="12">
        <v>45663</v>
      </c>
      <c r="G146" s="12">
        <v>45667</v>
      </c>
      <c r="H146" t="s">
        <v>27</v>
      </c>
      <c r="I146" t="s">
        <v>18</v>
      </c>
      <c r="J146">
        <v>4</v>
      </c>
      <c r="K146" t="s">
        <v>19</v>
      </c>
      <c r="L146" t="s">
        <v>33</v>
      </c>
      <c r="M146">
        <v>4</v>
      </c>
      <c r="N146">
        <v>2</v>
      </c>
      <c r="O146" t="s">
        <v>2530</v>
      </c>
    </row>
    <row r="147" spans="1:15">
      <c r="A147" t="s">
        <v>218</v>
      </c>
      <c r="B147" t="s">
        <v>146</v>
      </c>
      <c r="C147">
        <v>12</v>
      </c>
      <c r="D147">
        <v>25.8</v>
      </c>
      <c r="E147">
        <v>309.60000000000002</v>
      </c>
      <c r="F147" s="12">
        <v>45663</v>
      </c>
      <c r="G147" s="12">
        <v>45664</v>
      </c>
      <c r="H147" t="s">
        <v>23</v>
      </c>
      <c r="I147" t="s">
        <v>70</v>
      </c>
      <c r="J147">
        <v>2</v>
      </c>
      <c r="K147" t="s">
        <v>19</v>
      </c>
      <c r="L147" t="s">
        <v>33</v>
      </c>
      <c r="M147">
        <v>1</v>
      </c>
      <c r="N147">
        <v>2</v>
      </c>
      <c r="O147" t="s">
        <v>2531</v>
      </c>
    </row>
    <row r="148" spans="1:15">
      <c r="A148" t="s">
        <v>219</v>
      </c>
      <c r="B148" t="s">
        <v>16</v>
      </c>
      <c r="C148">
        <v>4</v>
      </c>
      <c r="D148">
        <v>26.4</v>
      </c>
      <c r="E148">
        <v>105.6</v>
      </c>
      <c r="F148" s="12">
        <v>45663</v>
      </c>
      <c r="G148" s="12">
        <v>45664</v>
      </c>
      <c r="H148" t="s">
        <v>23</v>
      </c>
      <c r="I148" t="s">
        <v>35</v>
      </c>
      <c r="J148">
        <v>5</v>
      </c>
      <c r="K148" t="s">
        <v>19</v>
      </c>
      <c r="L148" t="s">
        <v>33</v>
      </c>
      <c r="M148">
        <v>1</v>
      </c>
      <c r="N148">
        <v>2</v>
      </c>
      <c r="O148" t="s">
        <v>2531</v>
      </c>
    </row>
    <row r="149" spans="1:15">
      <c r="A149" t="s">
        <v>220</v>
      </c>
      <c r="B149" t="s">
        <v>44</v>
      </c>
      <c r="C149">
        <v>4</v>
      </c>
      <c r="D149">
        <v>15.7</v>
      </c>
      <c r="E149">
        <v>62.8</v>
      </c>
      <c r="F149" s="12">
        <v>45663</v>
      </c>
      <c r="G149" s="12">
        <v>45664</v>
      </c>
      <c r="H149" t="s">
        <v>23</v>
      </c>
      <c r="I149" t="s">
        <v>40</v>
      </c>
      <c r="J149">
        <v>4</v>
      </c>
      <c r="K149" t="s">
        <v>19</v>
      </c>
      <c r="L149" t="s">
        <v>33</v>
      </c>
      <c r="M149">
        <v>1</v>
      </c>
      <c r="N149">
        <v>2</v>
      </c>
      <c r="O149" t="s">
        <v>2531</v>
      </c>
    </row>
    <row r="150" spans="1:15">
      <c r="A150" t="s">
        <v>221</v>
      </c>
      <c r="B150" t="s">
        <v>44</v>
      </c>
      <c r="C150">
        <v>1</v>
      </c>
      <c r="D150">
        <v>39.700000000000003</v>
      </c>
      <c r="E150">
        <v>39.700000000000003</v>
      </c>
      <c r="F150" s="12">
        <v>45663</v>
      </c>
      <c r="G150" s="12">
        <v>45667</v>
      </c>
      <c r="H150" t="s">
        <v>23</v>
      </c>
      <c r="I150" t="s">
        <v>18</v>
      </c>
      <c r="J150">
        <v>4</v>
      </c>
      <c r="K150" t="s">
        <v>19</v>
      </c>
      <c r="L150" t="s">
        <v>33</v>
      </c>
      <c r="M150">
        <v>4</v>
      </c>
      <c r="N150">
        <v>2</v>
      </c>
      <c r="O150" t="s">
        <v>2531</v>
      </c>
    </row>
    <row r="151" spans="1:15">
      <c r="A151" t="s">
        <v>222</v>
      </c>
      <c r="B151" t="s">
        <v>54</v>
      </c>
      <c r="C151">
        <v>4</v>
      </c>
      <c r="D151">
        <v>31.1</v>
      </c>
      <c r="E151">
        <v>124.4</v>
      </c>
      <c r="F151" s="12">
        <v>45663</v>
      </c>
      <c r="G151" s="12">
        <v>45665</v>
      </c>
      <c r="H151" t="s">
        <v>27</v>
      </c>
      <c r="I151" t="s">
        <v>40</v>
      </c>
      <c r="J151">
        <v>3</v>
      </c>
      <c r="K151" t="s">
        <v>19</v>
      </c>
      <c r="L151" t="s">
        <v>33</v>
      </c>
      <c r="M151">
        <v>2</v>
      </c>
      <c r="N151">
        <v>2</v>
      </c>
      <c r="O151" t="s">
        <v>2530</v>
      </c>
    </row>
    <row r="152" spans="1:15">
      <c r="A152" t="s">
        <v>223</v>
      </c>
      <c r="B152" t="s">
        <v>76</v>
      </c>
      <c r="C152">
        <v>15</v>
      </c>
      <c r="D152">
        <v>23.4</v>
      </c>
      <c r="E152">
        <v>351</v>
      </c>
      <c r="F152" s="12">
        <v>45663</v>
      </c>
      <c r="G152" s="12">
        <v>45672</v>
      </c>
      <c r="H152" t="s">
        <v>23</v>
      </c>
      <c r="I152" t="s">
        <v>18</v>
      </c>
      <c r="J152">
        <v>4</v>
      </c>
      <c r="K152" t="s">
        <v>19</v>
      </c>
      <c r="L152" t="s">
        <v>33</v>
      </c>
      <c r="M152">
        <v>9</v>
      </c>
      <c r="N152">
        <v>2</v>
      </c>
      <c r="O152" t="s">
        <v>2531</v>
      </c>
    </row>
    <row r="153" spans="1:15">
      <c r="A153" t="s">
        <v>2249</v>
      </c>
      <c r="B153" t="s">
        <v>22</v>
      </c>
      <c r="C153">
        <v>3</v>
      </c>
      <c r="D153">
        <v>71.5</v>
      </c>
      <c r="E153">
        <v>214.5</v>
      </c>
      <c r="F153" s="12">
        <v>45736</v>
      </c>
      <c r="G153" s="12">
        <v>45750</v>
      </c>
      <c r="H153" t="s">
        <v>27</v>
      </c>
      <c r="I153" t="s">
        <v>18</v>
      </c>
      <c r="J153">
        <v>4</v>
      </c>
      <c r="K153" t="s">
        <v>19</v>
      </c>
      <c r="L153" t="s">
        <v>33</v>
      </c>
      <c r="M153">
        <v>14</v>
      </c>
      <c r="N153">
        <v>12</v>
      </c>
      <c r="O153" t="s">
        <v>2530</v>
      </c>
    </row>
    <row r="154" spans="1:15">
      <c r="A154" t="s">
        <v>2248</v>
      </c>
      <c r="B154" t="s">
        <v>46</v>
      </c>
      <c r="C154">
        <v>8</v>
      </c>
      <c r="D154">
        <v>42.2</v>
      </c>
      <c r="E154">
        <v>337.6</v>
      </c>
      <c r="F154" s="12">
        <v>45736</v>
      </c>
      <c r="G154" s="12">
        <v>45739</v>
      </c>
      <c r="H154" t="s">
        <v>27</v>
      </c>
      <c r="I154" t="s">
        <v>51</v>
      </c>
      <c r="J154">
        <v>5</v>
      </c>
      <c r="K154" t="s">
        <v>19</v>
      </c>
      <c r="L154" t="s">
        <v>33</v>
      </c>
      <c r="M154">
        <v>3</v>
      </c>
      <c r="N154">
        <v>12</v>
      </c>
      <c r="O154" t="s">
        <v>2530</v>
      </c>
    </row>
    <row r="155" spans="1:15">
      <c r="A155" t="s">
        <v>2247</v>
      </c>
      <c r="B155" t="s">
        <v>44</v>
      </c>
      <c r="C155">
        <v>1</v>
      </c>
      <c r="D155">
        <v>46</v>
      </c>
      <c r="E155">
        <v>46</v>
      </c>
      <c r="F155" s="12">
        <v>45736</v>
      </c>
      <c r="G155" s="12">
        <v>45737</v>
      </c>
      <c r="H155" t="s">
        <v>23</v>
      </c>
      <c r="I155" t="s">
        <v>18</v>
      </c>
      <c r="J155">
        <v>4</v>
      </c>
      <c r="K155" t="s">
        <v>19</v>
      </c>
      <c r="L155" t="s">
        <v>33</v>
      </c>
      <c r="M155">
        <v>1</v>
      </c>
      <c r="N155">
        <v>12</v>
      </c>
      <c r="O155" t="s">
        <v>2531</v>
      </c>
    </row>
    <row r="156" spans="1:15">
      <c r="A156" t="s">
        <v>2246</v>
      </c>
      <c r="B156" t="s">
        <v>16</v>
      </c>
      <c r="C156">
        <v>1</v>
      </c>
      <c r="D156">
        <v>16.8</v>
      </c>
      <c r="E156">
        <v>16.8</v>
      </c>
      <c r="F156" s="12">
        <v>45736</v>
      </c>
      <c r="G156" s="12">
        <v>45737</v>
      </c>
      <c r="H156" t="s">
        <v>27</v>
      </c>
      <c r="I156" t="s">
        <v>40</v>
      </c>
      <c r="J156">
        <v>3</v>
      </c>
      <c r="K156" t="s">
        <v>19</v>
      </c>
      <c r="L156" t="s">
        <v>33</v>
      </c>
      <c r="M156">
        <v>1</v>
      </c>
      <c r="N156">
        <v>12</v>
      </c>
      <c r="O156" t="s">
        <v>2530</v>
      </c>
    </row>
    <row r="157" spans="1:15">
      <c r="A157" t="s">
        <v>2245</v>
      </c>
      <c r="B157" t="s">
        <v>42</v>
      </c>
      <c r="C157">
        <v>1</v>
      </c>
      <c r="D157">
        <v>31.2</v>
      </c>
      <c r="E157">
        <v>31.2</v>
      </c>
      <c r="F157" s="12">
        <v>45736</v>
      </c>
      <c r="G157" s="12">
        <v>45737</v>
      </c>
      <c r="H157" t="s">
        <v>23</v>
      </c>
      <c r="I157" t="s">
        <v>35</v>
      </c>
      <c r="J157">
        <v>5</v>
      </c>
      <c r="K157" t="s">
        <v>19</v>
      </c>
      <c r="L157" t="s">
        <v>33</v>
      </c>
      <c r="M157">
        <v>1</v>
      </c>
      <c r="N157">
        <v>12</v>
      </c>
      <c r="O157" t="s">
        <v>2531</v>
      </c>
    </row>
    <row r="158" spans="1:15">
      <c r="A158" t="s">
        <v>2244</v>
      </c>
      <c r="B158" t="s">
        <v>30</v>
      </c>
      <c r="C158">
        <v>1</v>
      </c>
      <c r="D158">
        <v>59.7</v>
      </c>
      <c r="E158">
        <v>59.7</v>
      </c>
      <c r="F158" s="12">
        <v>45736</v>
      </c>
      <c r="G158" s="12">
        <v>45739</v>
      </c>
      <c r="H158" t="s">
        <v>23</v>
      </c>
      <c r="I158" t="s">
        <v>51</v>
      </c>
      <c r="J158">
        <v>4</v>
      </c>
      <c r="K158" t="s">
        <v>19</v>
      </c>
      <c r="L158" t="s">
        <v>33</v>
      </c>
      <c r="M158">
        <v>3</v>
      </c>
      <c r="N158">
        <v>12</v>
      </c>
      <c r="O158" t="s">
        <v>2531</v>
      </c>
    </row>
    <row r="159" spans="1:15">
      <c r="A159" t="s">
        <v>2243</v>
      </c>
      <c r="B159" t="s">
        <v>54</v>
      </c>
      <c r="C159">
        <v>2</v>
      </c>
      <c r="D159">
        <v>38.799999999999997</v>
      </c>
      <c r="E159">
        <v>77.599999999999994</v>
      </c>
      <c r="F159" s="12">
        <v>45736</v>
      </c>
      <c r="G159" s="12">
        <v>45737</v>
      </c>
      <c r="H159" t="s">
        <v>23</v>
      </c>
      <c r="I159" t="s">
        <v>70</v>
      </c>
      <c r="J159">
        <v>3</v>
      </c>
      <c r="K159" t="s">
        <v>19</v>
      </c>
      <c r="L159" t="s">
        <v>33</v>
      </c>
      <c r="M159">
        <v>1</v>
      </c>
      <c r="N159">
        <v>12</v>
      </c>
      <c r="O159" t="s">
        <v>2531</v>
      </c>
    </row>
    <row r="160" spans="1:15">
      <c r="A160" t="s">
        <v>2224</v>
      </c>
      <c r="B160" t="s">
        <v>26</v>
      </c>
      <c r="C160">
        <v>3</v>
      </c>
      <c r="D160">
        <v>107.4</v>
      </c>
      <c r="E160">
        <v>322.20000000000005</v>
      </c>
      <c r="F160" s="12">
        <v>45735</v>
      </c>
      <c r="G160" s="12">
        <v>45748</v>
      </c>
      <c r="H160" t="s">
        <v>27</v>
      </c>
      <c r="I160" t="s">
        <v>35</v>
      </c>
      <c r="J160">
        <v>5</v>
      </c>
      <c r="K160" t="s">
        <v>19</v>
      </c>
      <c r="L160" t="s">
        <v>33</v>
      </c>
      <c r="M160">
        <v>13</v>
      </c>
      <c r="N160">
        <v>12</v>
      </c>
      <c r="O160" t="s">
        <v>2530</v>
      </c>
    </row>
    <row r="161" spans="1:15">
      <c r="A161" t="s">
        <v>2223</v>
      </c>
      <c r="B161" t="s">
        <v>37</v>
      </c>
      <c r="C161">
        <v>5</v>
      </c>
      <c r="D161">
        <v>33.700000000000003</v>
      </c>
      <c r="E161">
        <v>168.5</v>
      </c>
      <c r="F161" s="12">
        <v>45735</v>
      </c>
      <c r="G161" s="12">
        <v>45736</v>
      </c>
      <c r="H161" t="s">
        <v>27</v>
      </c>
      <c r="I161" t="s">
        <v>18</v>
      </c>
      <c r="J161">
        <v>4</v>
      </c>
      <c r="K161" t="s">
        <v>19</v>
      </c>
      <c r="L161" t="s">
        <v>33</v>
      </c>
      <c r="M161">
        <v>1</v>
      </c>
      <c r="N161">
        <v>12</v>
      </c>
      <c r="O161" t="s">
        <v>2530</v>
      </c>
    </row>
    <row r="162" spans="1:15">
      <c r="A162" t="s">
        <v>2222</v>
      </c>
      <c r="B162" t="s">
        <v>46</v>
      </c>
      <c r="C162">
        <v>2</v>
      </c>
      <c r="D162">
        <v>63.2</v>
      </c>
      <c r="E162">
        <v>126.4</v>
      </c>
      <c r="F162" s="12">
        <v>45735</v>
      </c>
      <c r="G162" s="12">
        <v>45735</v>
      </c>
      <c r="H162" t="s">
        <v>23</v>
      </c>
      <c r="I162" t="s">
        <v>70</v>
      </c>
      <c r="J162">
        <v>3</v>
      </c>
      <c r="K162" t="s">
        <v>19</v>
      </c>
      <c r="L162" t="s">
        <v>33</v>
      </c>
      <c r="M162">
        <v>0</v>
      </c>
      <c r="N162">
        <v>12</v>
      </c>
      <c r="O162" t="s">
        <v>2531</v>
      </c>
    </row>
    <row r="163" spans="1:15">
      <c r="A163" t="s">
        <v>2221</v>
      </c>
      <c r="B163" t="s">
        <v>39</v>
      </c>
      <c r="C163">
        <v>4</v>
      </c>
      <c r="D163">
        <v>87.3</v>
      </c>
      <c r="E163">
        <v>349.2</v>
      </c>
      <c r="F163" s="12">
        <v>45735</v>
      </c>
      <c r="G163" s="12">
        <v>45736</v>
      </c>
      <c r="H163" t="s">
        <v>23</v>
      </c>
      <c r="I163" t="s">
        <v>18</v>
      </c>
      <c r="J163">
        <v>4</v>
      </c>
      <c r="K163" t="s">
        <v>19</v>
      </c>
      <c r="L163" t="s">
        <v>33</v>
      </c>
      <c r="M163">
        <v>1</v>
      </c>
      <c r="N163">
        <v>12</v>
      </c>
      <c r="O163" t="s">
        <v>2531</v>
      </c>
    </row>
    <row r="164" spans="1:15">
      <c r="A164" t="s">
        <v>2220</v>
      </c>
      <c r="B164" t="s">
        <v>22</v>
      </c>
      <c r="C164">
        <v>2</v>
      </c>
      <c r="D164">
        <v>78.599999999999994</v>
      </c>
      <c r="E164">
        <v>157.19999999999999</v>
      </c>
      <c r="F164" s="12">
        <v>45735</v>
      </c>
      <c r="G164" s="12">
        <v>45736</v>
      </c>
      <c r="H164" t="s">
        <v>23</v>
      </c>
      <c r="I164" t="s">
        <v>40</v>
      </c>
      <c r="J164">
        <v>5</v>
      </c>
      <c r="K164" t="s">
        <v>19</v>
      </c>
      <c r="L164" t="s">
        <v>33</v>
      </c>
      <c r="M164">
        <v>1</v>
      </c>
      <c r="N164">
        <v>12</v>
      </c>
      <c r="O164" t="s">
        <v>2531</v>
      </c>
    </row>
    <row r="165" spans="1:15">
      <c r="A165" t="s">
        <v>2219</v>
      </c>
      <c r="B165" t="s">
        <v>37</v>
      </c>
      <c r="C165">
        <v>1</v>
      </c>
      <c r="D165">
        <v>47.5</v>
      </c>
      <c r="E165">
        <v>47.5</v>
      </c>
      <c r="F165" s="12">
        <v>45735</v>
      </c>
      <c r="G165" s="12">
        <v>45739</v>
      </c>
      <c r="H165" t="s">
        <v>23</v>
      </c>
      <c r="I165" t="s">
        <v>70</v>
      </c>
      <c r="J165">
        <v>5</v>
      </c>
      <c r="K165" t="s">
        <v>19</v>
      </c>
      <c r="L165" t="s">
        <v>33</v>
      </c>
      <c r="M165">
        <v>4</v>
      </c>
      <c r="N165">
        <v>12</v>
      </c>
      <c r="O165" t="s">
        <v>2531</v>
      </c>
    </row>
    <row r="166" spans="1:15">
      <c r="A166" t="s">
        <v>2218</v>
      </c>
      <c r="B166" t="s">
        <v>44</v>
      </c>
      <c r="C166">
        <v>1</v>
      </c>
      <c r="D166">
        <v>18.3</v>
      </c>
      <c r="E166">
        <v>18.3</v>
      </c>
      <c r="F166" s="12">
        <v>45735</v>
      </c>
      <c r="G166" s="12">
        <v>45736</v>
      </c>
      <c r="H166" t="s">
        <v>27</v>
      </c>
      <c r="I166" t="s">
        <v>18</v>
      </c>
      <c r="J166">
        <v>4</v>
      </c>
      <c r="K166" t="s">
        <v>19</v>
      </c>
      <c r="L166" t="s">
        <v>33</v>
      </c>
      <c r="M166">
        <v>1</v>
      </c>
      <c r="N166">
        <v>12</v>
      </c>
      <c r="O166" t="s">
        <v>2530</v>
      </c>
    </row>
    <row r="167" spans="1:15">
      <c r="A167" t="s">
        <v>2217</v>
      </c>
      <c r="B167" t="s">
        <v>37</v>
      </c>
      <c r="C167">
        <v>14</v>
      </c>
      <c r="D167">
        <v>86.9</v>
      </c>
      <c r="E167">
        <v>1216.6000000000001</v>
      </c>
      <c r="F167" s="12">
        <v>45735</v>
      </c>
      <c r="G167" s="12">
        <v>45740</v>
      </c>
      <c r="H167" t="s">
        <v>27</v>
      </c>
      <c r="I167" t="s">
        <v>35</v>
      </c>
      <c r="J167">
        <v>4</v>
      </c>
      <c r="K167" t="s">
        <v>19</v>
      </c>
      <c r="L167" t="s">
        <v>33</v>
      </c>
      <c r="M167">
        <v>5</v>
      </c>
      <c r="N167">
        <v>12</v>
      </c>
      <c r="O167" t="s">
        <v>2530</v>
      </c>
    </row>
    <row r="168" spans="1:15">
      <c r="A168" t="s">
        <v>2216</v>
      </c>
      <c r="B168" t="s">
        <v>42</v>
      </c>
      <c r="C168">
        <v>2</v>
      </c>
      <c r="D168">
        <v>38.799999999999997</v>
      </c>
      <c r="E168">
        <v>77.599999999999994</v>
      </c>
      <c r="F168" s="12">
        <v>45735</v>
      </c>
      <c r="G168" s="12">
        <v>45738</v>
      </c>
      <c r="H168" t="s">
        <v>27</v>
      </c>
      <c r="I168" t="s">
        <v>40</v>
      </c>
      <c r="J168">
        <v>4</v>
      </c>
      <c r="K168" t="s">
        <v>19</v>
      </c>
      <c r="L168" t="s">
        <v>33</v>
      </c>
      <c r="M168">
        <v>3</v>
      </c>
      <c r="N168">
        <v>12</v>
      </c>
      <c r="O168" t="s">
        <v>2530</v>
      </c>
    </row>
    <row r="169" spans="1:15">
      <c r="A169" t="s">
        <v>2215</v>
      </c>
      <c r="B169" t="s">
        <v>16</v>
      </c>
      <c r="C169">
        <v>8</v>
      </c>
      <c r="D169">
        <v>11.7</v>
      </c>
      <c r="E169">
        <v>93.6</v>
      </c>
      <c r="F169" s="12">
        <v>45735</v>
      </c>
      <c r="G169" s="12">
        <v>45736</v>
      </c>
      <c r="H169" t="s">
        <v>23</v>
      </c>
      <c r="I169" t="s">
        <v>40</v>
      </c>
      <c r="J169">
        <v>5</v>
      </c>
      <c r="K169" t="s">
        <v>19</v>
      </c>
      <c r="L169" t="s">
        <v>33</v>
      </c>
      <c r="M169">
        <v>1</v>
      </c>
      <c r="N169">
        <v>12</v>
      </c>
      <c r="O169" t="s">
        <v>2531</v>
      </c>
    </row>
    <row r="170" spans="1:15">
      <c r="A170" t="s">
        <v>2214</v>
      </c>
      <c r="B170" t="s">
        <v>69</v>
      </c>
      <c r="C170">
        <v>3</v>
      </c>
      <c r="D170">
        <v>44.8</v>
      </c>
      <c r="E170">
        <v>134.39999999999998</v>
      </c>
      <c r="F170" s="12">
        <v>45735</v>
      </c>
      <c r="G170" s="12">
        <v>45736</v>
      </c>
      <c r="H170" t="s">
        <v>89</v>
      </c>
      <c r="I170" t="s">
        <v>70</v>
      </c>
      <c r="J170">
        <v>4</v>
      </c>
      <c r="K170" t="s">
        <v>19</v>
      </c>
      <c r="L170" t="s">
        <v>33</v>
      </c>
      <c r="M170">
        <v>1</v>
      </c>
      <c r="N170">
        <v>12</v>
      </c>
      <c r="O170" t="s">
        <v>2532</v>
      </c>
    </row>
    <row r="171" spans="1:15">
      <c r="A171" t="s">
        <v>2213</v>
      </c>
      <c r="B171" t="s">
        <v>54</v>
      </c>
      <c r="C171">
        <v>4</v>
      </c>
      <c r="D171">
        <v>23.5</v>
      </c>
      <c r="E171">
        <v>94</v>
      </c>
      <c r="F171" s="12">
        <v>45735</v>
      </c>
      <c r="G171" s="12">
        <v>45736</v>
      </c>
      <c r="H171" t="s">
        <v>27</v>
      </c>
      <c r="I171" t="s">
        <v>18</v>
      </c>
      <c r="J171">
        <v>5</v>
      </c>
      <c r="K171" t="s">
        <v>19</v>
      </c>
      <c r="L171" t="s">
        <v>33</v>
      </c>
      <c r="M171">
        <v>1</v>
      </c>
      <c r="N171">
        <v>12</v>
      </c>
      <c r="O171" t="s">
        <v>2530</v>
      </c>
    </row>
    <row r="172" spans="1:15">
      <c r="A172" t="s">
        <v>2212</v>
      </c>
      <c r="B172" t="s">
        <v>54</v>
      </c>
      <c r="C172">
        <v>1</v>
      </c>
      <c r="D172">
        <v>32</v>
      </c>
      <c r="E172">
        <v>32</v>
      </c>
      <c r="F172" s="12">
        <v>45735</v>
      </c>
      <c r="G172" s="12">
        <v>45737</v>
      </c>
      <c r="H172" t="s">
        <v>23</v>
      </c>
      <c r="I172" t="s">
        <v>18</v>
      </c>
      <c r="J172">
        <v>4</v>
      </c>
      <c r="K172" t="s">
        <v>19</v>
      </c>
      <c r="L172" t="s">
        <v>33</v>
      </c>
      <c r="M172">
        <v>2</v>
      </c>
      <c r="N172">
        <v>12</v>
      </c>
      <c r="O172" t="s">
        <v>2531</v>
      </c>
    </row>
    <row r="173" spans="1:15">
      <c r="A173" t="s">
        <v>2211</v>
      </c>
      <c r="B173" t="s">
        <v>42</v>
      </c>
      <c r="C173">
        <v>1</v>
      </c>
      <c r="D173">
        <v>57.6</v>
      </c>
      <c r="E173">
        <v>57.6</v>
      </c>
      <c r="F173" s="12">
        <v>45735</v>
      </c>
      <c r="G173" s="12">
        <v>45736</v>
      </c>
      <c r="H173" t="s">
        <v>23</v>
      </c>
      <c r="I173" t="s">
        <v>35</v>
      </c>
      <c r="J173">
        <v>2</v>
      </c>
      <c r="K173" t="s">
        <v>19</v>
      </c>
      <c r="L173" t="s">
        <v>33</v>
      </c>
      <c r="M173">
        <v>1</v>
      </c>
      <c r="N173">
        <v>12</v>
      </c>
      <c r="O173" t="s">
        <v>2531</v>
      </c>
    </row>
    <row r="174" spans="1:15">
      <c r="A174" t="s">
        <v>246</v>
      </c>
      <c r="B174" t="s">
        <v>54</v>
      </c>
      <c r="C174">
        <v>1</v>
      </c>
      <c r="D174">
        <v>36.1</v>
      </c>
      <c r="E174">
        <v>36.1</v>
      </c>
      <c r="F174" s="12">
        <v>45664</v>
      </c>
      <c r="G174" s="12">
        <v>45667</v>
      </c>
      <c r="H174" t="s">
        <v>23</v>
      </c>
      <c r="I174" t="s">
        <v>51</v>
      </c>
      <c r="J174">
        <v>5</v>
      </c>
      <c r="K174" t="s">
        <v>19</v>
      </c>
      <c r="L174" t="s">
        <v>33</v>
      </c>
      <c r="M174">
        <v>3</v>
      </c>
      <c r="N174">
        <v>2</v>
      </c>
      <c r="O174" t="s">
        <v>2531</v>
      </c>
    </row>
    <row r="175" spans="1:15">
      <c r="A175" t="s">
        <v>247</v>
      </c>
      <c r="B175" t="s">
        <v>81</v>
      </c>
      <c r="C175">
        <v>2</v>
      </c>
      <c r="D175">
        <v>17.3</v>
      </c>
      <c r="E175">
        <v>34.6</v>
      </c>
      <c r="F175" s="12">
        <v>45664</v>
      </c>
      <c r="G175" s="12">
        <v>45666</v>
      </c>
      <c r="H175" t="s">
        <v>27</v>
      </c>
      <c r="I175" t="s">
        <v>35</v>
      </c>
      <c r="J175">
        <v>5</v>
      </c>
      <c r="K175" t="s">
        <v>19</v>
      </c>
      <c r="L175" t="s">
        <v>33</v>
      </c>
      <c r="M175">
        <v>2</v>
      </c>
      <c r="N175">
        <v>2</v>
      </c>
      <c r="O175" t="s">
        <v>2530</v>
      </c>
    </row>
    <row r="176" spans="1:15">
      <c r="A176" t="s">
        <v>248</v>
      </c>
      <c r="B176" t="s">
        <v>54</v>
      </c>
      <c r="C176">
        <v>2</v>
      </c>
      <c r="D176">
        <v>30.5</v>
      </c>
      <c r="E176">
        <v>61</v>
      </c>
      <c r="F176" s="12">
        <v>45664</v>
      </c>
      <c r="G176" s="12">
        <v>45665</v>
      </c>
      <c r="H176" t="s">
        <v>27</v>
      </c>
      <c r="I176" t="s">
        <v>35</v>
      </c>
      <c r="J176">
        <v>5</v>
      </c>
      <c r="K176" t="s">
        <v>19</v>
      </c>
      <c r="L176" t="s">
        <v>33</v>
      </c>
      <c r="M176">
        <v>1</v>
      </c>
      <c r="N176">
        <v>2</v>
      </c>
      <c r="O176" t="s">
        <v>2530</v>
      </c>
    </row>
    <row r="177" spans="1:15">
      <c r="A177" t="s">
        <v>249</v>
      </c>
      <c r="B177" t="s">
        <v>146</v>
      </c>
      <c r="C177">
        <v>62</v>
      </c>
      <c r="D177">
        <v>70.099999999999994</v>
      </c>
      <c r="E177">
        <v>4346.2</v>
      </c>
      <c r="F177" s="12">
        <v>45664</v>
      </c>
      <c r="G177" s="12">
        <v>45664</v>
      </c>
      <c r="H177" t="s">
        <v>27</v>
      </c>
      <c r="I177" t="s">
        <v>40</v>
      </c>
      <c r="J177">
        <v>4</v>
      </c>
      <c r="K177" t="s">
        <v>19</v>
      </c>
      <c r="L177" t="s">
        <v>33</v>
      </c>
      <c r="M177">
        <v>0</v>
      </c>
      <c r="N177">
        <v>2</v>
      </c>
      <c r="O177" t="s">
        <v>2530</v>
      </c>
    </row>
    <row r="178" spans="1:15">
      <c r="A178" t="s">
        <v>250</v>
      </c>
      <c r="B178" t="s">
        <v>30</v>
      </c>
      <c r="C178">
        <v>1</v>
      </c>
      <c r="D178">
        <v>76.099999999999994</v>
      </c>
      <c r="E178">
        <v>76.099999999999994</v>
      </c>
      <c r="F178" s="12">
        <v>45664</v>
      </c>
      <c r="G178" s="12">
        <v>45664</v>
      </c>
      <c r="H178" t="s">
        <v>27</v>
      </c>
      <c r="I178" t="s">
        <v>40</v>
      </c>
      <c r="J178">
        <v>3</v>
      </c>
      <c r="K178" t="s">
        <v>19</v>
      </c>
      <c r="L178" t="s">
        <v>33</v>
      </c>
      <c r="M178">
        <v>0</v>
      </c>
      <c r="N178">
        <v>2</v>
      </c>
      <c r="O178" t="s">
        <v>2530</v>
      </c>
    </row>
    <row r="179" spans="1:15">
      <c r="A179" t="s">
        <v>251</v>
      </c>
      <c r="B179" t="s">
        <v>123</v>
      </c>
      <c r="C179">
        <v>13</v>
      </c>
      <c r="D179">
        <v>34.200000000000003</v>
      </c>
      <c r="E179">
        <v>444.6</v>
      </c>
      <c r="F179" s="12">
        <v>45664</v>
      </c>
      <c r="G179" s="12">
        <v>45665</v>
      </c>
      <c r="H179" t="s">
        <v>23</v>
      </c>
      <c r="I179" t="s">
        <v>18</v>
      </c>
      <c r="J179">
        <v>4</v>
      </c>
      <c r="K179" t="s">
        <v>19</v>
      </c>
      <c r="L179" t="s">
        <v>33</v>
      </c>
      <c r="M179">
        <v>1</v>
      </c>
      <c r="N179">
        <v>2</v>
      </c>
      <c r="O179" t="s">
        <v>2531</v>
      </c>
    </row>
    <row r="180" spans="1:15">
      <c r="A180" t="s">
        <v>252</v>
      </c>
      <c r="B180" t="s">
        <v>44</v>
      </c>
      <c r="C180">
        <v>5</v>
      </c>
      <c r="D180">
        <v>30.3</v>
      </c>
      <c r="E180">
        <v>151.5</v>
      </c>
      <c r="F180" s="12">
        <v>45664</v>
      </c>
      <c r="G180" s="12">
        <v>45669</v>
      </c>
      <c r="H180" t="s">
        <v>27</v>
      </c>
      <c r="I180" t="s">
        <v>70</v>
      </c>
      <c r="J180">
        <v>4</v>
      </c>
      <c r="K180" t="s">
        <v>19</v>
      </c>
      <c r="L180" t="s">
        <v>33</v>
      </c>
      <c r="M180">
        <v>5</v>
      </c>
      <c r="N180">
        <v>2</v>
      </c>
      <c r="O180" t="s">
        <v>2530</v>
      </c>
    </row>
    <row r="181" spans="1:15">
      <c r="A181" t="s">
        <v>253</v>
      </c>
      <c r="B181" t="s">
        <v>39</v>
      </c>
      <c r="C181">
        <v>5</v>
      </c>
      <c r="D181">
        <v>52.5</v>
      </c>
      <c r="E181">
        <v>262.5</v>
      </c>
      <c r="F181" s="12">
        <v>45664</v>
      </c>
      <c r="G181" s="12">
        <v>45668</v>
      </c>
      <c r="H181" t="s">
        <v>17</v>
      </c>
      <c r="I181" t="s">
        <v>51</v>
      </c>
      <c r="J181">
        <v>4</v>
      </c>
      <c r="K181" t="s">
        <v>19</v>
      </c>
      <c r="L181" t="s">
        <v>33</v>
      </c>
      <c r="M181">
        <v>4</v>
      </c>
      <c r="N181">
        <v>2</v>
      </c>
      <c r="O181" t="s">
        <v>2533</v>
      </c>
    </row>
    <row r="182" spans="1:15">
      <c r="A182" t="s">
        <v>254</v>
      </c>
      <c r="B182" t="s">
        <v>46</v>
      </c>
      <c r="C182">
        <v>11</v>
      </c>
      <c r="D182">
        <v>28.7</v>
      </c>
      <c r="E182">
        <v>315.7</v>
      </c>
      <c r="F182" s="12">
        <v>45664</v>
      </c>
      <c r="G182" s="12">
        <v>45665</v>
      </c>
      <c r="H182" t="s">
        <v>27</v>
      </c>
      <c r="I182" t="s">
        <v>40</v>
      </c>
      <c r="J182">
        <v>4</v>
      </c>
      <c r="K182" t="s">
        <v>19</v>
      </c>
      <c r="L182" t="s">
        <v>33</v>
      </c>
      <c r="M182">
        <v>1</v>
      </c>
      <c r="N182">
        <v>2</v>
      </c>
      <c r="O182" t="s">
        <v>2530</v>
      </c>
    </row>
    <row r="183" spans="1:15">
      <c r="A183" t="s">
        <v>255</v>
      </c>
      <c r="B183" t="s">
        <v>42</v>
      </c>
      <c r="C183">
        <v>7</v>
      </c>
      <c r="D183">
        <v>52</v>
      </c>
      <c r="E183">
        <v>364</v>
      </c>
      <c r="F183" s="12">
        <v>45664</v>
      </c>
      <c r="G183" s="12">
        <v>45665</v>
      </c>
      <c r="H183" t="s">
        <v>23</v>
      </c>
      <c r="I183" t="s">
        <v>35</v>
      </c>
      <c r="J183">
        <v>2</v>
      </c>
      <c r="K183" t="s">
        <v>19</v>
      </c>
      <c r="L183" t="s">
        <v>33</v>
      </c>
      <c r="M183">
        <v>1</v>
      </c>
      <c r="N183">
        <v>2</v>
      </c>
      <c r="O183" t="s">
        <v>2531</v>
      </c>
    </row>
    <row r="184" spans="1:15">
      <c r="A184" t="s">
        <v>256</v>
      </c>
      <c r="B184" t="s">
        <v>16</v>
      </c>
      <c r="C184">
        <v>1</v>
      </c>
      <c r="D184">
        <v>13.3</v>
      </c>
      <c r="E184">
        <v>13.3</v>
      </c>
      <c r="F184" s="12">
        <v>45665</v>
      </c>
      <c r="G184" s="12">
        <v>45669</v>
      </c>
      <c r="H184" t="s">
        <v>27</v>
      </c>
      <c r="I184" t="s">
        <v>40</v>
      </c>
      <c r="J184">
        <v>3</v>
      </c>
      <c r="K184" t="s">
        <v>19</v>
      </c>
      <c r="L184" t="s">
        <v>33</v>
      </c>
      <c r="M184">
        <v>4</v>
      </c>
      <c r="N184">
        <v>2</v>
      </c>
      <c r="O184" t="s">
        <v>2530</v>
      </c>
    </row>
    <row r="185" spans="1:15">
      <c r="A185" t="s">
        <v>2210</v>
      </c>
      <c r="B185" t="s">
        <v>26</v>
      </c>
      <c r="C185">
        <v>3</v>
      </c>
      <c r="D185">
        <v>60.8</v>
      </c>
      <c r="E185">
        <v>182.39999999999998</v>
      </c>
      <c r="F185" s="12">
        <v>45735</v>
      </c>
      <c r="G185" s="12">
        <v>45739</v>
      </c>
      <c r="H185" t="s">
        <v>27</v>
      </c>
      <c r="I185" t="s">
        <v>35</v>
      </c>
      <c r="J185">
        <v>3</v>
      </c>
      <c r="K185" t="s">
        <v>19</v>
      </c>
      <c r="L185" t="s">
        <v>33</v>
      </c>
      <c r="M185">
        <v>4</v>
      </c>
      <c r="N185">
        <v>12</v>
      </c>
      <c r="O185" t="s">
        <v>2530</v>
      </c>
    </row>
    <row r="186" spans="1:15">
      <c r="A186" t="s">
        <v>2184</v>
      </c>
      <c r="B186" t="s">
        <v>39</v>
      </c>
      <c r="C186">
        <v>1</v>
      </c>
      <c r="D186">
        <v>45.8</v>
      </c>
      <c r="E186">
        <v>45.8</v>
      </c>
      <c r="F186" s="12">
        <v>45734</v>
      </c>
      <c r="G186" s="12">
        <v>45738</v>
      </c>
      <c r="H186" t="s">
        <v>89</v>
      </c>
      <c r="I186" t="s">
        <v>18</v>
      </c>
      <c r="J186">
        <v>4</v>
      </c>
      <c r="K186" t="s">
        <v>19</v>
      </c>
      <c r="L186" t="s">
        <v>33</v>
      </c>
      <c r="M186">
        <v>4</v>
      </c>
      <c r="N186">
        <v>12</v>
      </c>
      <c r="O186" t="s">
        <v>2532</v>
      </c>
    </row>
    <row r="187" spans="1:15">
      <c r="A187" t="s">
        <v>2183</v>
      </c>
      <c r="B187" t="s">
        <v>54</v>
      </c>
      <c r="C187">
        <v>6</v>
      </c>
      <c r="D187">
        <v>31.5</v>
      </c>
      <c r="E187">
        <v>189</v>
      </c>
      <c r="F187" s="12">
        <v>45734</v>
      </c>
      <c r="G187" s="12">
        <v>45736</v>
      </c>
      <c r="H187" t="s">
        <v>27</v>
      </c>
      <c r="I187" t="s">
        <v>18</v>
      </c>
      <c r="J187">
        <v>5</v>
      </c>
      <c r="K187" t="s">
        <v>19</v>
      </c>
      <c r="L187" t="s">
        <v>33</v>
      </c>
      <c r="M187">
        <v>2</v>
      </c>
      <c r="N187">
        <v>12</v>
      </c>
      <c r="O187" t="s">
        <v>2530</v>
      </c>
    </row>
    <row r="188" spans="1:15">
      <c r="A188" t="s">
        <v>2182</v>
      </c>
      <c r="B188" t="s">
        <v>123</v>
      </c>
      <c r="C188">
        <v>3</v>
      </c>
      <c r="D188">
        <v>69.400000000000006</v>
      </c>
      <c r="E188">
        <v>208.20000000000002</v>
      </c>
      <c r="F188" s="12">
        <v>45734</v>
      </c>
      <c r="G188" s="12">
        <v>45737</v>
      </c>
      <c r="H188" t="s">
        <v>23</v>
      </c>
      <c r="I188" t="s">
        <v>35</v>
      </c>
      <c r="J188">
        <v>5</v>
      </c>
      <c r="K188" t="s">
        <v>19</v>
      </c>
      <c r="L188" t="s">
        <v>33</v>
      </c>
      <c r="M188">
        <v>3</v>
      </c>
      <c r="N188">
        <v>12</v>
      </c>
      <c r="O188" t="s">
        <v>2531</v>
      </c>
    </row>
    <row r="189" spans="1:15">
      <c r="A189" t="s">
        <v>2181</v>
      </c>
      <c r="B189" t="s">
        <v>135</v>
      </c>
      <c r="C189">
        <v>4</v>
      </c>
      <c r="D189">
        <v>22</v>
      </c>
      <c r="E189">
        <v>88</v>
      </c>
      <c r="F189" s="12">
        <v>45734</v>
      </c>
      <c r="G189" s="12">
        <v>45735</v>
      </c>
      <c r="H189" t="s">
        <v>23</v>
      </c>
      <c r="I189" t="s">
        <v>35</v>
      </c>
      <c r="J189">
        <v>5</v>
      </c>
      <c r="K189" t="s">
        <v>19</v>
      </c>
      <c r="L189" t="s">
        <v>33</v>
      </c>
      <c r="M189">
        <v>1</v>
      </c>
      <c r="N189">
        <v>12</v>
      </c>
      <c r="O189" t="s">
        <v>2531</v>
      </c>
    </row>
    <row r="190" spans="1:15">
      <c r="A190" t="s">
        <v>2180</v>
      </c>
      <c r="B190" t="s">
        <v>26</v>
      </c>
      <c r="C190">
        <v>2</v>
      </c>
      <c r="D190">
        <v>65.2</v>
      </c>
      <c r="E190">
        <v>130.4</v>
      </c>
      <c r="F190" s="12">
        <v>45734</v>
      </c>
      <c r="G190" s="12">
        <v>45735</v>
      </c>
      <c r="H190" t="s">
        <v>27</v>
      </c>
      <c r="I190" t="s">
        <v>35</v>
      </c>
      <c r="J190">
        <v>4</v>
      </c>
      <c r="K190" t="s">
        <v>19</v>
      </c>
      <c r="L190" t="s">
        <v>33</v>
      </c>
      <c r="M190">
        <v>1</v>
      </c>
      <c r="N190">
        <v>12</v>
      </c>
      <c r="O190" t="s">
        <v>2530</v>
      </c>
    </row>
    <row r="191" spans="1:15">
      <c r="A191" t="s">
        <v>2179</v>
      </c>
      <c r="B191" t="s">
        <v>128</v>
      </c>
      <c r="C191">
        <v>2</v>
      </c>
      <c r="D191">
        <v>32</v>
      </c>
      <c r="E191">
        <v>64</v>
      </c>
      <c r="F191" s="12">
        <v>45734</v>
      </c>
      <c r="G191" s="12">
        <v>45736</v>
      </c>
      <c r="H191" t="s">
        <v>23</v>
      </c>
      <c r="I191" t="s">
        <v>18</v>
      </c>
      <c r="J191">
        <v>3</v>
      </c>
      <c r="K191" t="s">
        <v>19</v>
      </c>
      <c r="L191" t="s">
        <v>33</v>
      </c>
      <c r="M191">
        <v>2</v>
      </c>
      <c r="N191">
        <v>12</v>
      </c>
      <c r="O191" t="s">
        <v>2531</v>
      </c>
    </row>
    <row r="192" spans="1:15">
      <c r="A192" t="s">
        <v>2178</v>
      </c>
      <c r="B192" t="s">
        <v>39</v>
      </c>
      <c r="C192">
        <v>2</v>
      </c>
      <c r="D192">
        <v>95</v>
      </c>
      <c r="E192">
        <v>190</v>
      </c>
      <c r="F192" s="12">
        <v>45734</v>
      </c>
      <c r="G192" s="12">
        <v>45736</v>
      </c>
      <c r="H192" t="s">
        <v>27</v>
      </c>
      <c r="I192" t="s">
        <v>18</v>
      </c>
      <c r="J192">
        <v>4</v>
      </c>
      <c r="K192" t="s">
        <v>19</v>
      </c>
      <c r="L192" t="s">
        <v>33</v>
      </c>
      <c r="M192">
        <v>2</v>
      </c>
      <c r="N192">
        <v>12</v>
      </c>
      <c r="O192" t="s">
        <v>2530</v>
      </c>
    </row>
    <row r="193" spans="1:15">
      <c r="A193" t="s">
        <v>2177</v>
      </c>
      <c r="B193" t="s">
        <v>69</v>
      </c>
      <c r="C193">
        <v>2</v>
      </c>
      <c r="D193">
        <v>85</v>
      </c>
      <c r="E193">
        <v>170</v>
      </c>
      <c r="F193" s="12">
        <v>45734</v>
      </c>
      <c r="G193" s="12">
        <v>45734</v>
      </c>
      <c r="H193" t="s">
        <v>23</v>
      </c>
      <c r="I193" t="s">
        <v>40</v>
      </c>
      <c r="J193">
        <v>5</v>
      </c>
      <c r="K193" t="s">
        <v>19</v>
      </c>
      <c r="L193" t="s">
        <v>33</v>
      </c>
      <c r="M193">
        <v>0</v>
      </c>
      <c r="N193">
        <v>12</v>
      </c>
      <c r="O193" t="s">
        <v>2531</v>
      </c>
    </row>
    <row r="194" spans="1:15">
      <c r="A194" t="s">
        <v>2176</v>
      </c>
      <c r="B194" t="s">
        <v>37</v>
      </c>
      <c r="C194">
        <v>2</v>
      </c>
      <c r="D194">
        <v>27.8</v>
      </c>
      <c r="E194">
        <v>55.6</v>
      </c>
      <c r="F194" s="12">
        <v>45734</v>
      </c>
      <c r="G194" s="12">
        <v>45736</v>
      </c>
      <c r="H194" t="s">
        <v>27</v>
      </c>
      <c r="I194" t="s">
        <v>18</v>
      </c>
      <c r="J194">
        <v>4</v>
      </c>
      <c r="K194" t="s">
        <v>19</v>
      </c>
      <c r="L194" t="s">
        <v>33</v>
      </c>
      <c r="M194">
        <v>2</v>
      </c>
      <c r="N194">
        <v>12</v>
      </c>
      <c r="O194" t="s">
        <v>2530</v>
      </c>
    </row>
    <row r="195" spans="1:15">
      <c r="A195" t="s">
        <v>2175</v>
      </c>
      <c r="B195" t="s">
        <v>44</v>
      </c>
      <c r="C195">
        <v>1</v>
      </c>
      <c r="D195">
        <v>34.299999999999997</v>
      </c>
      <c r="E195">
        <v>34.299999999999997</v>
      </c>
      <c r="F195" s="12">
        <v>45733</v>
      </c>
      <c r="G195" s="12">
        <v>45734</v>
      </c>
      <c r="H195" t="s">
        <v>27</v>
      </c>
      <c r="I195" t="s">
        <v>70</v>
      </c>
      <c r="J195">
        <v>5</v>
      </c>
      <c r="K195" t="s">
        <v>19</v>
      </c>
      <c r="L195" t="s">
        <v>33</v>
      </c>
      <c r="M195">
        <v>1</v>
      </c>
      <c r="N195">
        <v>12</v>
      </c>
      <c r="O195" t="s">
        <v>2530</v>
      </c>
    </row>
    <row r="196" spans="1:15">
      <c r="A196" t="s">
        <v>2174</v>
      </c>
      <c r="B196" t="s">
        <v>44</v>
      </c>
      <c r="C196">
        <v>2</v>
      </c>
      <c r="D196">
        <v>57.5</v>
      </c>
      <c r="E196">
        <v>115</v>
      </c>
      <c r="F196" s="12">
        <v>45733</v>
      </c>
      <c r="G196" s="12">
        <v>45735</v>
      </c>
      <c r="H196" t="s">
        <v>23</v>
      </c>
      <c r="I196" t="s">
        <v>35</v>
      </c>
      <c r="J196">
        <v>5</v>
      </c>
      <c r="K196" t="s">
        <v>19</v>
      </c>
      <c r="L196" t="s">
        <v>33</v>
      </c>
      <c r="M196">
        <v>2</v>
      </c>
      <c r="N196">
        <v>12</v>
      </c>
      <c r="O196" t="s">
        <v>2531</v>
      </c>
    </row>
    <row r="197" spans="1:15">
      <c r="A197" t="s">
        <v>2173</v>
      </c>
      <c r="B197" t="s">
        <v>30</v>
      </c>
      <c r="C197">
        <v>4</v>
      </c>
      <c r="D197">
        <v>59.5</v>
      </c>
      <c r="E197">
        <v>238</v>
      </c>
      <c r="F197" s="12">
        <v>45733</v>
      </c>
      <c r="G197" s="12">
        <v>45738</v>
      </c>
      <c r="H197" t="s">
        <v>23</v>
      </c>
      <c r="I197" t="s">
        <v>18</v>
      </c>
      <c r="J197">
        <v>5</v>
      </c>
      <c r="K197" t="s">
        <v>19</v>
      </c>
      <c r="L197" t="s">
        <v>33</v>
      </c>
      <c r="M197">
        <v>5</v>
      </c>
      <c r="N197">
        <v>12</v>
      </c>
      <c r="O197" t="s">
        <v>2531</v>
      </c>
    </row>
    <row r="198" spans="1:15">
      <c r="A198" t="s">
        <v>2172</v>
      </c>
      <c r="B198" t="s">
        <v>39</v>
      </c>
      <c r="C198">
        <v>3</v>
      </c>
      <c r="D198">
        <v>84.1</v>
      </c>
      <c r="E198">
        <v>252.29999999999998</v>
      </c>
      <c r="F198" s="12">
        <v>45733</v>
      </c>
      <c r="G198" s="12">
        <v>45734</v>
      </c>
      <c r="H198" t="s">
        <v>23</v>
      </c>
      <c r="I198" t="s">
        <v>40</v>
      </c>
      <c r="J198">
        <v>4</v>
      </c>
      <c r="K198" t="s">
        <v>19</v>
      </c>
      <c r="L198" t="s">
        <v>33</v>
      </c>
      <c r="M198">
        <v>1</v>
      </c>
      <c r="N198">
        <v>12</v>
      </c>
      <c r="O198" t="s">
        <v>2531</v>
      </c>
    </row>
    <row r="199" spans="1:15">
      <c r="A199" t="s">
        <v>2171</v>
      </c>
      <c r="B199" t="s">
        <v>16</v>
      </c>
      <c r="C199">
        <v>2</v>
      </c>
      <c r="D199">
        <v>17</v>
      </c>
      <c r="E199">
        <v>34</v>
      </c>
      <c r="F199" s="12">
        <v>45733</v>
      </c>
      <c r="G199" s="12">
        <v>45735</v>
      </c>
      <c r="H199" t="s">
        <v>27</v>
      </c>
      <c r="I199" t="s">
        <v>40</v>
      </c>
      <c r="J199">
        <v>4</v>
      </c>
      <c r="K199" t="s">
        <v>19</v>
      </c>
      <c r="L199" t="s">
        <v>33</v>
      </c>
      <c r="M199">
        <v>2</v>
      </c>
      <c r="N199">
        <v>12</v>
      </c>
      <c r="O199" t="s">
        <v>2530</v>
      </c>
    </row>
    <row r="200" spans="1:15">
      <c r="A200" t="s">
        <v>2170</v>
      </c>
      <c r="B200" t="s">
        <v>26</v>
      </c>
      <c r="C200">
        <v>10</v>
      </c>
      <c r="D200">
        <v>105.2</v>
      </c>
      <c r="E200">
        <v>1052</v>
      </c>
      <c r="F200" s="12">
        <v>45733</v>
      </c>
      <c r="G200" s="12">
        <v>45735</v>
      </c>
      <c r="H200" t="s">
        <v>23</v>
      </c>
      <c r="I200" t="s">
        <v>35</v>
      </c>
      <c r="J200">
        <v>2</v>
      </c>
      <c r="K200" t="s">
        <v>19</v>
      </c>
      <c r="L200" t="s">
        <v>33</v>
      </c>
      <c r="M200">
        <v>2</v>
      </c>
      <c r="N200">
        <v>12</v>
      </c>
      <c r="O200" t="s">
        <v>2531</v>
      </c>
    </row>
    <row r="201" spans="1:15">
      <c r="A201" t="s">
        <v>2152</v>
      </c>
      <c r="B201" t="s">
        <v>123</v>
      </c>
      <c r="C201">
        <v>8</v>
      </c>
      <c r="D201">
        <v>56.6</v>
      </c>
      <c r="E201">
        <v>452.8</v>
      </c>
      <c r="F201" s="12">
        <v>45733</v>
      </c>
      <c r="G201" s="12">
        <v>45735</v>
      </c>
      <c r="H201" t="s">
        <v>27</v>
      </c>
      <c r="I201" t="s">
        <v>35</v>
      </c>
      <c r="J201">
        <v>4</v>
      </c>
      <c r="K201" t="s">
        <v>19</v>
      </c>
      <c r="L201" t="s">
        <v>33</v>
      </c>
      <c r="M201">
        <v>2</v>
      </c>
      <c r="N201">
        <v>12</v>
      </c>
      <c r="O201" t="s">
        <v>2530</v>
      </c>
    </row>
    <row r="202" spans="1:15">
      <c r="A202" t="s">
        <v>276</v>
      </c>
      <c r="B202" t="s">
        <v>44</v>
      </c>
      <c r="C202">
        <v>8</v>
      </c>
      <c r="D202">
        <v>32.6</v>
      </c>
      <c r="E202">
        <v>260.8</v>
      </c>
      <c r="F202" s="12">
        <v>45665</v>
      </c>
      <c r="G202" s="12">
        <v>45668</v>
      </c>
      <c r="H202" t="s">
        <v>23</v>
      </c>
      <c r="I202" t="s">
        <v>35</v>
      </c>
      <c r="J202">
        <v>4</v>
      </c>
      <c r="K202" t="s">
        <v>19</v>
      </c>
      <c r="L202" t="s">
        <v>33</v>
      </c>
      <c r="M202">
        <v>3</v>
      </c>
      <c r="N202">
        <v>2</v>
      </c>
      <c r="O202" t="s">
        <v>2531</v>
      </c>
    </row>
    <row r="203" spans="1:15">
      <c r="A203" t="s">
        <v>277</v>
      </c>
      <c r="B203" t="s">
        <v>42</v>
      </c>
      <c r="C203">
        <v>2</v>
      </c>
      <c r="D203">
        <v>49.1</v>
      </c>
      <c r="E203">
        <v>98.2</v>
      </c>
      <c r="F203" s="12">
        <v>45665</v>
      </c>
      <c r="G203" s="12">
        <v>45673</v>
      </c>
      <c r="H203" t="s">
        <v>23</v>
      </c>
      <c r="I203" t="s">
        <v>51</v>
      </c>
      <c r="J203">
        <v>5</v>
      </c>
      <c r="K203" t="s">
        <v>19</v>
      </c>
      <c r="L203" t="s">
        <v>33</v>
      </c>
      <c r="M203">
        <v>8</v>
      </c>
      <c r="N203">
        <v>2</v>
      </c>
      <c r="O203" t="s">
        <v>2531</v>
      </c>
    </row>
    <row r="204" spans="1:15">
      <c r="A204" t="s">
        <v>278</v>
      </c>
      <c r="B204" t="s">
        <v>39</v>
      </c>
      <c r="C204">
        <v>2</v>
      </c>
      <c r="D204">
        <v>49.4</v>
      </c>
      <c r="E204">
        <v>98.8</v>
      </c>
      <c r="F204" s="12">
        <v>45666</v>
      </c>
      <c r="G204" s="12">
        <v>45667</v>
      </c>
      <c r="H204" t="s">
        <v>27</v>
      </c>
      <c r="I204" t="s">
        <v>40</v>
      </c>
      <c r="J204">
        <v>4</v>
      </c>
      <c r="K204" t="s">
        <v>19</v>
      </c>
      <c r="L204" t="s">
        <v>33</v>
      </c>
      <c r="M204">
        <v>1</v>
      </c>
      <c r="N204">
        <v>2</v>
      </c>
      <c r="O204" t="s">
        <v>2530</v>
      </c>
    </row>
    <row r="205" spans="1:15">
      <c r="A205" t="s">
        <v>279</v>
      </c>
      <c r="B205" t="s">
        <v>42</v>
      </c>
      <c r="C205">
        <v>7</v>
      </c>
      <c r="D205">
        <v>65.099999999999994</v>
      </c>
      <c r="E205">
        <v>455.69999999999993</v>
      </c>
      <c r="F205" s="12">
        <v>45666</v>
      </c>
      <c r="G205" s="12">
        <v>45669</v>
      </c>
      <c r="H205" t="s">
        <v>27</v>
      </c>
      <c r="I205" t="s">
        <v>40</v>
      </c>
      <c r="J205">
        <v>5</v>
      </c>
      <c r="K205" t="s">
        <v>19</v>
      </c>
      <c r="L205" t="s">
        <v>33</v>
      </c>
      <c r="M205">
        <v>3</v>
      </c>
      <c r="N205">
        <v>2</v>
      </c>
      <c r="O205" t="s">
        <v>2530</v>
      </c>
    </row>
    <row r="206" spans="1:15">
      <c r="A206" t="s">
        <v>280</v>
      </c>
      <c r="B206" t="s">
        <v>30</v>
      </c>
      <c r="C206">
        <v>2</v>
      </c>
      <c r="D206">
        <v>52.1</v>
      </c>
      <c r="E206">
        <v>104.2</v>
      </c>
      <c r="F206" s="12">
        <v>45666</v>
      </c>
      <c r="G206" s="12">
        <v>45670</v>
      </c>
      <c r="H206" t="s">
        <v>27</v>
      </c>
      <c r="I206" t="s">
        <v>40</v>
      </c>
      <c r="J206">
        <v>4</v>
      </c>
      <c r="K206" t="s">
        <v>19</v>
      </c>
      <c r="L206" t="s">
        <v>33</v>
      </c>
      <c r="M206">
        <v>4</v>
      </c>
      <c r="N206">
        <v>2</v>
      </c>
      <c r="O206" t="s">
        <v>2530</v>
      </c>
    </row>
    <row r="207" spans="1:15">
      <c r="A207" t="s">
        <v>281</v>
      </c>
      <c r="B207" t="s">
        <v>26</v>
      </c>
      <c r="C207">
        <v>4</v>
      </c>
      <c r="D207">
        <v>129.19999999999999</v>
      </c>
      <c r="E207">
        <v>516.79999999999995</v>
      </c>
      <c r="F207" s="12">
        <v>45666</v>
      </c>
      <c r="G207" s="12">
        <v>45667</v>
      </c>
      <c r="H207" t="s">
        <v>27</v>
      </c>
      <c r="I207" t="s">
        <v>35</v>
      </c>
      <c r="J207">
        <v>4</v>
      </c>
      <c r="K207" t="s">
        <v>19</v>
      </c>
      <c r="L207" t="s">
        <v>33</v>
      </c>
      <c r="M207">
        <v>1</v>
      </c>
      <c r="N207">
        <v>2</v>
      </c>
      <c r="O207" t="s">
        <v>2530</v>
      </c>
    </row>
    <row r="208" spans="1:15">
      <c r="A208" t="s">
        <v>282</v>
      </c>
      <c r="B208" t="s">
        <v>22</v>
      </c>
      <c r="C208">
        <v>19</v>
      </c>
      <c r="D208">
        <v>81.8</v>
      </c>
      <c r="E208">
        <v>1554.2</v>
      </c>
      <c r="F208" s="12">
        <v>45666</v>
      </c>
      <c r="G208" s="12">
        <v>45666</v>
      </c>
      <c r="H208" t="s">
        <v>27</v>
      </c>
      <c r="I208" t="s">
        <v>35</v>
      </c>
      <c r="J208">
        <v>3</v>
      </c>
      <c r="K208" t="s">
        <v>19</v>
      </c>
      <c r="L208" t="s">
        <v>33</v>
      </c>
      <c r="M208">
        <v>0</v>
      </c>
      <c r="N208">
        <v>2</v>
      </c>
      <c r="O208" t="s">
        <v>2530</v>
      </c>
    </row>
    <row r="209" spans="1:15">
      <c r="A209" t="s">
        <v>283</v>
      </c>
      <c r="B209" t="s">
        <v>135</v>
      </c>
      <c r="C209">
        <v>1</v>
      </c>
      <c r="D209">
        <v>24.9</v>
      </c>
      <c r="E209">
        <v>24.9</v>
      </c>
      <c r="F209" s="12">
        <v>45666</v>
      </c>
      <c r="G209" s="12">
        <v>45670</v>
      </c>
      <c r="H209" t="s">
        <v>27</v>
      </c>
      <c r="I209" t="s">
        <v>35</v>
      </c>
      <c r="J209">
        <v>4</v>
      </c>
      <c r="K209" t="s">
        <v>19</v>
      </c>
      <c r="L209" t="s">
        <v>33</v>
      </c>
      <c r="M209">
        <v>4</v>
      </c>
      <c r="N209">
        <v>2</v>
      </c>
      <c r="O209" t="s">
        <v>2530</v>
      </c>
    </row>
    <row r="210" spans="1:15">
      <c r="A210" t="s">
        <v>284</v>
      </c>
      <c r="B210" t="s">
        <v>16</v>
      </c>
      <c r="C210">
        <v>3</v>
      </c>
      <c r="D210">
        <v>49.4</v>
      </c>
      <c r="E210">
        <v>148.19999999999999</v>
      </c>
      <c r="F210" s="12">
        <v>45666</v>
      </c>
      <c r="G210" s="12">
        <v>45669</v>
      </c>
      <c r="H210" t="s">
        <v>27</v>
      </c>
      <c r="I210" t="s">
        <v>70</v>
      </c>
      <c r="J210">
        <v>2</v>
      </c>
      <c r="K210" t="s">
        <v>19</v>
      </c>
      <c r="L210" t="s">
        <v>33</v>
      </c>
      <c r="M210">
        <v>3</v>
      </c>
      <c r="N210">
        <v>2</v>
      </c>
      <c r="O210" t="s">
        <v>2530</v>
      </c>
    </row>
    <row r="211" spans="1:15">
      <c r="A211" t="s">
        <v>285</v>
      </c>
      <c r="B211" t="s">
        <v>44</v>
      </c>
      <c r="C211">
        <v>2</v>
      </c>
      <c r="D211">
        <v>22.7</v>
      </c>
      <c r="E211">
        <v>45.4</v>
      </c>
      <c r="F211" s="12">
        <v>45666</v>
      </c>
      <c r="G211" s="12">
        <v>45667</v>
      </c>
      <c r="H211" t="s">
        <v>23</v>
      </c>
      <c r="I211" t="s">
        <v>51</v>
      </c>
      <c r="J211">
        <v>5</v>
      </c>
      <c r="K211" t="s">
        <v>19</v>
      </c>
      <c r="L211" t="s">
        <v>33</v>
      </c>
      <c r="M211">
        <v>1</v>
      </c>
      <c r="N211">
        <v>2</v>
      </c>
      <c r="O211" t="s">
        <v>2531</v>
      </c>
    </row>
    <row r="212" spans="1:15">
      <c r="A212" t="s">
        <v>2151</v>
      </c>
      <c r="B212" t="s">
        <v>44</v>
      </c>
      <c r="C212">
        <v>1</v>
      </c>
      <c r="D212">
        <v>23.4</v>
      </c>
      <c r="E212">
        <v>23.4</v>
      </c>
      <c r="F212" s="12">
        <v>45733</v>
      </c>
      <c r="G212" s="12">
        <v>45738</v>
      </c>
      <c r="H212" t="s">
        <v>27</v>
      </c>
      <c r="I212" t="s">
        <v>35</v>
      </c>
      <c r="J212">
        <v>5</v>
      </c>
      <c r="K212" t="s">
        <v>19</v>
      </c>
      <c r="L212" t="s">
        <v>33</v>
      </c>
      <c r="M212">
        <v>5</v>
      </c>
      <c r="N212">
        <v>12</v>
      </c>
      <c r="O212" t="s">
        <v>2530</v>
      </c>
    </row>
    <row r="213" spans="1:15">
      <c r="A213" t="s">
        <v>2150</v>
      </c>
      <c r="B213" t="s">
        <v>32</v>
      </c>
      <c r="C213">
        <v>10</v>
      </c>
      <c r="D213">
        <v>36.299999999999997</v>
      </c>
      <c r="E213">
        <v>363</v>
      </c>
      <c r="F213" s="12">
        <v>45733</v>
      </c>
      <c r="G213" s="12">
        <v>45735</v>
      </c>
      <c r="H213" t="s">
        <v>27</v>
      </c>
      <c r="I213" t="s">
        <v>70</v>
      </c>
      <c r="J213">
        <v>3</v>
      </c>
      <c r="K213" t="s">
        <v>19</v>
      </c>
      <c r="L213" t="s">
        <v>33</v>
      </c>
      <c r="M213">
        <v>2</v>
      </c>
      <c r="N213">
        <v>12</v>
      </c>
      <c r="O213" t="s">
        <v>2530</v>
      </c>
    </row>
    <row r="214" spans="1:15">
      <c r="A214" t="s">
        <v>2149</v>
      </c>
      <c r="B214" t="s">
        <v>16</v>
      </c>
      <c r="C214">
        <v>4</v>
      </c>
      <c r="D214">
        <v>33.700000000000003</v>
      </c>
      <c r="E214">
        <v>134.80000000000001</v>
      </c>
      <c r="F214" s="12">
        <v>45733</v>
      </c>
      <c r="G214" s="12">
        <v>45734</v>
      </c>
      <c r="H214" t="s">
        <v>23</v>
      </c>
      <c r="I214" t="s">
        <v>18</v>
      </c>
      <c r="J214">
        <v>4</v>
      </c>
      <c r="K214" t="s">
        <v>19</v>
      </c>
      <c r="L214" t="s">
        <v>33</v>
      </c>
      <c r="M214">
        <v>1</v>
      </c>
      <c r="N214">
        <v>12</v>
      </c>
      <c r="O214" t="s">
        <v>2531</v>
      </c>
    </row>
    <row r="215" spans="1:15">
      <c r="A215" t="s">
        <v>2148</v>
      </c>
      <c r="B215" t="s">
        <v>123</v>
      </c>
      <c r="C215">
        <v>1</v>
      </c>
      <c r="D215">
        <v>51.6</v>
      </c>
      <c r="E215">
        <v>51.6</v>
      </c>
      <c r="F215" s="12">
        <v>45732</v>
      </c>
      <c r="G215" s="12">
        <v>45736</v>
      </c>
      <c r="H215" t="s">
        <v>27</v>
      </c>
      <c r="I215" t="s">
        <v>40</v>
      </c>
      <c r="J215">
        <v>3</v>
      </c>
      <c r="K215" t="s">
        <v>19</v>
      </c>
      <c r="L215" t="s">
        <v>33</v>
      </c>
      <c r="M215">
        <v>4</v>
      </c>
      <c r="N215">
        <v>12</v>
      </c>
      <c r="O215" t="s">
        <v>2530</v>
      </c>
    </row>
    <row r="216" spans="1:15">
      <c r="A216" t="s">
        <v>2147</v>
      </c>
      <c r="B216" t="s">
        <v>54</v>
      </c>
      <c r="C216">
        <v>3</v>
      </c>
      <c r="D216">
        <v>48.2</v>
      </c>
      <c r="E216">
        <v>144.60000000000002</v>
      </c>
      <c r="F216" s="12">
        <v>45732</v>
      </c>
      <c r="G216" s="12">
        <v>45733</v>
      </c>
      <c r="H216" t="s">
        <v>27</v>
      </c>
      <c r="I216" t="s">
        <v>35</v>
      </c>
      <c r="J216">
        <v>5</v>
      </c>
      <c r="K216" t="s">
        <v>19</v>
      </c>
      <c r="L216" t="s">
        <v>33</v>
      </c>
      <c r="M216">
        <v>1</v>
      </c>
      <c r="N216">
        <v>12</v>
      </c>
      <c r="O216" t="s">
        <v>2530</v>
      </c>
    </row>
    <row r="217" spans="1:15">
      <c r="A217" t="s">
        <v>2146</v>
      </c>
      <c r="B217" t="s">
        <v>22</v>
      </c>
      <c r="C217">
        <v>1</v>
      </c>
      <c r="D217">
        <v>52.4</v>
      </c>
      <c r="E217">
        <v>52.4</v>
      </c>
      <c r="F217" s="12">
        <v>45732</v>
      </c>
      <c r="G217" s="12">
        <v>45733</v>
      </c>
      <c r="H217" t="s">
        <v>23</v>
      </c>
      <c r="I217" t="s">
        <v>35</v>
      </c>
      <c r="J217">
        <v>4</v>
      </c>
      <c r="K217" t="s">
        <v>19</v>
      </c>
      <c r="L217" t="s">
        <v>33</v>
      </c>
      <c r="M217">
        <v>1</v>
      </c>
      <c r="N217">
        <v>12</v>
      </c>
      <c r="O217" t="s">
        <v>2531</v>
      </c>
    </row>
    <row r="218" spans="1:15">
      <c r="A218" t="s">
        <v>2145</v>
      </c>
      <c r="B218" t="s">
        <v>26</v>
      </c>
      <c r="C218">
        <v>14</v>
      </c>
      <c r="D218">
        <v>176</v>
      </c>
      <c r="E218">
        <v>2464</v>
      </c>
      <c r="F218" s="12">
        <v>45732</v>
      </c>
      <c r="G218" s="12">
        <v>45733</v>
      </c>
      <c r="H218" t="s">
        <v>27</v>
      </c>
      <c r="I218" t="s">
        <v>18</v>
      </c>
      <c r="J218">
        <v>3</v>
      </c>
      <c r="K218" t="s">
        <v>19</v>
      </c>
      <c r="L218" t="s">
        <v>33</v>
      </c>
      <c r="M218">
        <v>1</v>
      </c>
      <c r="N218">
        <v>12</v>
      </c>
      <c r="O218" t="s">
        <v>2530</v>
      </c>
    </row>
    <row r="219" spans="1:15">
      <c r="A219" t="s">
        <v>2121</v>
      </c>
      <c r="B219" t="s">
        <v>16</v>
      </c>
      <c r="C219">
        <v>11</v>
      </c>
      <c r="D219">
        <v>12.2</v>
      </c>
      <c r="E219">
        <v>134.19999999999999</v>
      </c>
      <c r="F219" s="12">
        <v>45732</v>
      </c>
      <c r="G219" s="12">
        <v>45733</v>
      </c>
      <c r="H219" t="s">
        <v>17</v>
      </c>
      <c r="I219" t="s">
        <v>18</v>
      </c>
      <c r="J219">
        <v>3</v>
      </c>
      <c r="K219" t="s">
        <v>19</v>
      </c>
      <c r="L219" t="s">
        <v>33</v>
      </c>
      <c r="M219">
        <v>1</v>
      </c>
      <c r="N219">
        <v>12</v>
      </c>
      <c r="O219" t="s">
        <v>2533</v>
      </c>
    </row>
    <row r="220" spans="1:15">
      <c r="A220" t="s">
        <v>2120</v>
      </c>
      <c r="B220" t="s">
        <v>16</v>
      </c>
      <c r="C220">
        <v>6</v>
      </c>
      <c r="D220">
        <v>25.2</v>
      </c>
      <c r="E220">
        <v>151.19999999999999</v>
      </c>
      <c r="F220" s="12">
        <v>45732</v>
      </c>
      <c r="G220" s="12">
        <v>45735</v>
      </c>
      <c r="H220" t="s">
        <v>27</v>
      </c>
      <c r="I220" t="s">
        <v>70</v>
      </c>
      <c r="J220">
        <v>5</v>
      </c>
      <c r="K220" t="s">
        <v>19</v>
      </c>
      <c r="L220" t="s">
        <v>33</v>
      </c>
      <c r="M220">
        <v>3</v>
      </c>
      <c r="N220">
        <v>12</v>
      </c>
      <c r="O220" t="s">
        <v>2530</v>
      </c>
    </row>
    <row r="221" spans="1:15">
      <c r="A221" t="s">
        <v>296</v>
      </c>
      <c r="B221" t="s">
        <v>39</v>
      </c>
      <c r="C221">
        <v>4</v>
      </c>
      <c r="D221">
        <v>48</v>
      </c>
      <c r="E221">
        <v>192</v>
      </c>
      <c r="F221" s="12">
        <v>45667</v>
      </c>
      <c r="G221" s="12">
        <v>45668</v>
      </c>
      <c r="H221" t="s">
        <v>23</v>
      </c>
      <c r="I221" t="s">
        <v>51</v>
      </c>
      <c r="J221">
        <v>4</v>
      </c>
      <c r="K221" t="s">
        <v>19</v>
      </c>
      <c r="L221" t="s">
        <v>33</v>
      </c>
      <c r="M221">
        <v>1</v>
      </c>
      <c r="N221">
        <v>2</v>
      </c>
      <c r="O221" t="s">
        <v>2531</v>
      </c>
    </row>
    <row r="222" spans="1:15">
      <c r="A222" t="s">
        <v>297</v>
      </c>
      <c r="B222" t="s">
        <v>39</v>
      </c>
      <c r="C222">
        <v>3</v>
      </c>
      <c r="D222">
        <v>68.2</v>
      </c>
      <c r="E222">
        <v>204.60000000000002</v>
      </c>
      <c r="F222" s="12">
        <v>45667</v>
      </c>
      <c r="G222" s="12">
        <v>45671</v>
      </c>
      <c r="H222" t="s">
        <v>17</v>
      </c>
      <c r="I222" t="s">
        <v>18</v>
      </c>
      <c r="J222">
        <v>5</v>
      </c>
      <c r="K222" t="s">
        <v>19</v>
      </c>
      <c r="L222" t="s">
        <v>33</v>
      </c>
      <c r="M222">
        <v>4</v>
      </c>
      <c r="N222">
        <v>2</v>
      </c>
      <c r="O222" t="s">
        <v>2533</v>
      </c>
    </row>
    <row r="223" spans="1:15">
      <c r="A223" t="s">
        <v>298</v>
      </c>
      <c r="B223" t="s">
        <v>37</v>
      </c>
      <c r="C223">
        <v>1</v>
      </c>
      <c r="D223">
        <v>45.4</v>
      </c>
      <c r="E223">
        <v>45.4</v>
      </c>
      <c r="F223" s="12">
        <v>45667</v>
      </c>
      <c r="G223" s="12">
        <v>45669</v>
      </c>
      <c r="H223" t="s">
        <v>23</v>
      </c>
      <c r="I223" t="s">
        <v>35</v>
      </c>
      <c r="J223">
        <v>4</v>
      </c>
      <c r="K223" t="s">
        <v>19</v>
      </c>
      <c r="L223" t="s">
        <v>33</v>
      </c>
      <c r="M223">
        <v>2</v>
      </c>
      <c r="N223">
        <v>2</v>
      </c>
      <c r="O223" t="s">
        <v>2531</v>
      </c>
    </row>
    <row r="224" spans="1:15">
      <c r="A224" t="s">
        <v>299</v>
      </c>
      <c r="B224" t="s">
        <v>69</v>
      </c>
      <c r="C224">
        <v>2</v>
      </c>
      <c r="D224">
        <v>53.9</v>
      </c>
      <c r="E224">
        <v>107.8</v>
      </c>
      <c r="F224" s="12">
        <v>45667</v>
      </c>
      <c r="G224" s="12">
        <v>45668</v>
      </c>
      <c r="H224" t="s">
        <v>27</v>
      </c>
      <c r="I224" t="s">
        <v>40</v>
      </c>
      <c r="J224">
        <v>4</v>
      </c>
      <c r="K224" t="s">
        <v>19</v>
      </c>
      <c r="L224" t="s">
        <v>33</v>
      </c>
      <c r="M224">
        <v>1</v>
      </c>
      <c r="N224">
        <v>2</v>
      </c>
      <c r="O224" t="s">
        <v>2530</v>
      </c>
    </row>
    <row r="225" spans="1:15">
      <c r="A225" t="s">
        <v>2119</v>
      </c>
      <c r="B225" t="s">
        <v>26</v>
      </c>
      <c r="C225">
        <v>6</v>
      </c>
      <c r="D225">
        <v>97</v>
      </c>
      <c r="E225">
        <v>582</v>
      </c>
      <c r="F225" s="12">
        <v>45732</v>
      </c>
      <c r="G225" s="12">
        <v>45735</v>
      </c>
      <c r="H225" t="s">
        <v>23</v>
      </c>
      <c r="I225" t="s">
        <v>40</v>
      </c>
      <c r="J225">
        <v>5</v>
      </c>
      <c r="K225" t="s">
        <v>19</v>
      </c>
      <c r="L225" t="s">
        <v>33</v>
      </c>
      <c r="M225">
        <v>3</v>
      </c>
      <c r="N225">
        <v>12</v>
      </c>
      <c r="O225" t="s">
        <v>2531</v>
      </c>
    </row>
    <row r="226" spans="1:15">
      <c r="A226" t="s">
        <v>2118</v>
      </c>
      <c r="B226" t="s">
        <v>32</v>
      </c>
      <c r="C226">
        <v>2</v>
      </c>
      <c r="D226">
        <v>49.3</v>
      </c>
      <c r="E226">
        <v>98.6</v>
      </c>
      <c r="F226" s="12">
        <v>45732</v>
      </c>
      <c r="G226" s="12">
        <v>45734</v>
      </c>
      <c r="H226" t="s">
        <v>27</v>
      </c>
      <c r="I226" t="s">
        <v>70</v>
      </c>
      <c r="J226">
        <v>5</v>
      </c>
      <c r="K226" t="s">
        <v>19</v>
      </c>
      <c r="L226" t="s">
        <v>33</v>
      </c>
      <c r="M226">
        <v>2</v>
      </c>
      <c r="N226">
        <v>12</v>
      </c>
      <c r="O226" t="s">
        <v>2530</v>
      </c>
    </row>
    <row r="227" spans="1:15">
      <c r="A227" t="s">
        <v>2117</v>
      </c>
      <c r="B227" t="s">
        <v>39</v>
      </c>
      <c r="C227">
        <v>3</v>
      </c>
      <c r="D227">
        <v>100.7</v>
      </c>
      <c r="E227">
        <v>302.10000000000002</v>
      </c>
      <c r="F227" s="12">
        <v>45731</v>
      </c>
      <c r="G227" s="12">
        <v>45732</v>
      </c>
      <c r="H227" t="s">
        <v>17</v>
      </c>
      <c r="I227" t="s">
        <v>35</v>
      </c>
      <c r="J227">
        <v>4</v>
      </c>
      <c r="K227" t="s">
        <v>19</v>
      </c>
      <c r="L227" t="s">
        <v>33</v>
      </c>
      <c r="M227">
        <v>1</v>
      </c>
      <c r="N227">
        <v>11</v>
      </c>
      <c r="O227" t="s">
        <v>2533</v>
      </c>
    </row>
    <row r="228" spans="1:15">
      <c r="A228" t="s">
        <v>2116</v>
      </c>
      <c r="B228" t="s">
        <v>123</v>
      </c>
      <c r="C228">
        <v>2</v>
      </c>
      <c r="D228">
        <v>33.6</v>
      </c>
      <c r="E228">
        <v>67.2</v>
      </c>
      <c r="F228" s="12">
        <v>45731</v>
      </c>
      <c r="G228" s="12">
        <v>45732</v>
      </c>
      <c r="H228" t="s">
        <v>23</v>
      </c>
      <c r="I228" t="s">
        <v>18</v>
      </c>
      <c r="J228">
        <v>5</v>
      </c>
      <c r="K228" t="s">
        <v>19</v>
      </c>
      <c r="L228" t="s">
        <v>33</v>
      </c>
      <c r="M228">
        <v>1</v>
      </c>
      <c r="N228">
        <v>11</v>
      </c>
      <c r="O228" t="s">
        <v>2531</v>
      </c>
    </row>
    <row r="229" spans="1:15">
      <c r="A229" t="s">
        <v>2115</v>
      </c>
      <c r="B229" t="s">
        <v>37</v>
      </c>
      <c r="C229">
        <v>4</v>
      </c>
      <c r="D229">
        <v>64.8</v>
      </c>
      <c r="E229">
        <v>259.2</v>
      </c>
      <c r="F229" s="12">
        <v>45731</v>
      </c>
      <c r="G229" s="12">
        <v>45732</v>
      </c>
      <c r="H229" t="s">
        <v>17</v>
      </c>
      <c r="I229" t="s">
        <v>40</v>
      </c>
      <c r="J229">
        <v>4</v>
      </c>
      <c r="K229" t="s">
        <v>19</v>
      </c>
      <c r="L229" t="s">
        <v>33</v>
      </c>
      <c r="M229">
        <v>1</v>
      </c>
      <c r="N229">
        <v>11</v>
      </c>
      <c r="O229" t="s">
        <v>2533</v>
      </c>
    </row>
    <row r="230" spans="1:15">
      <c r="A230" t="s">
        <v>2114</v>
      </c>
      <c r="B230" t="s">
        <v>32</v>
      </c>
      <c r="C230">
        <v>2</v>
      </c>
      <c r="D230">
        <v>41.6</v>
      </c>
      <c r="E230">
        <v>83.2</v>
      </c>
      <c r="F230" s="12">
        <v>45731</v>
      </c>
      <c r="G230" s="12">
        <v>45733</v>
      </c>
      <c r="H230" t="s">
        <v>23</v>
      </c>
      <c r="I230" t="s">
        <v>70</v>
      </c>
      <c r="J230">
        <v>3</v>
      </c>
      <c r="K230" t="s">
        <v>19</v>
      </c>
      <c r="L230" t="s">
        <v>33</v>
      </c>
      <c r="M230">
        <v>2</v>
      </c>
      <c r="N230">
        <v>11</v>
      </c>
      <c r="O230" t="s">
        <v>2531</v>
      </c>
    </row>
    <row r="231" spans="1:15">
      <c r="A231" t="s">
        <v>2113</v>
      </c>
      <c r="B231" t="s">
        <v>32</v>
      </c>
      <c r="C231">
        <v>7</v>
      </c>
      <c r="D231">
        <v>32.700000000000003</v>
      </c>
      <c r="E231">
        <v>228.90000000000003</v>
      </c>
      <c r="F231" s="12">
        <v>45731</v>
      </c>
      <c r="G231" s="12">
        <v>45732</v>
      </c>
      <c r="H231" t="s">
        <v>27</v>
      </c>
      <c r="I231" t="s">
        <v>40</v>
      </c>
      <c r="J231">
        <v>3</v>
      </c>
      <c r="K231" t="s">
        <v>19</v>
      </c>
      <c r="L231" t="s">
        <v>33</v>
      </c>
      <c r="M231">
        <v>1</v>
      </c>
      <c r="N231">
        <v>11</v>
      </c>
      <c r="O231" t="s">
        <v>2530</v>
      </c>
    </row>
    <row r="232" spans="1:15">
      <c r="A232" t="s">
        <v>2112</v>
      </c>
      <c r="B232" t="s">
        <v>67</v>
      </c>
      <c r="C232">
        <v>2</v>
      </c>
      <c r="D232">
        <v>41.4</v>
      </c>
      <c r="E232">
        <v>82.8</v>
      </c>
      <c r="F232" s="12">
        <v>45731</v>
      </c>
      <c r="G232" s="12">
        <v>45732</v>
      </c>
      <c r="H232" t="s">
        <v>27</v>
      </c>
      <c r="I232" t="s">
        <v>18</v>
      </c>
      <c r="J232">
        <v>5</v>
      </c>
      <c r="K232" t="s">
        <v>19</v>
      </c>
      <c r="L232" t="s">
        <v>33</v>
      </c>
      <c r="M232">
        <v>1</v>
      </c>
      <c r="N232">
        <v>11</v>
      </c>
      <c r="O232" t="s">
        <v>2530</v>
      </c>
    </row>
    <row r="233" spans="1:15">
      <c r="A233" t="s">
        <v>2087</v>
      </c>
      <c r="B233" t="s">
        <v>54</v>
      </c>
      <c r="C233">
        <v>1</v>
      </c>
      <c r="D233">
        <v>20.9</v>
      </c>
      <c r="E233">
        <v>20.9</v>
      </c>
      <c r="F233" s="12">
        <v>45730</v>
      </c>
      <c r="G233" s="12">
        <v>45732</v>
      </c>
      <c r="H233" t="s">
        <v>27</v>
      </c>
      <c r="I233" t="s">
        <v>18</v>
      </c>
      <c r="J233">
        <v>2</v>
      </c>
      <c r="K233" t="s">
        <v>19</v>
      </c>
      <c r="L233" t="s">
        <v>33</v>
      </c>
      <c r="M233">
        <v>2</v>
      </c>
      <c r="N233">
        <v>11</v>
      </c>
      <c r="O233" t="s">
        <v>2530</v>
      </c>
    </row>
    <row r="234" spans="1:15">
      <c r="A234" t="s">
        <v>2086</v>
      </c>
      <c r="B234" t="s">
        <v>22</v>
      </c>
      <c r="C234">
        <v>2</v>
      </c>
      <c r="D234">
        <v>36.700000000000003</v>
      </c>
      <c r="E234">
        <v>73.400000000000006</v>
      </c>
      <c r="F234" s="12">
        <v>45730</v>
      </c>
      <c r="G234" s="12">
        <v>45732</v>
      </c>
      <c r="H234" t="s">
        <v>27</v>
      </c>
      <c r="I234" t="s">
        <v>18</v>
      </c>
      <c r="J234">
        <v>5</v>
      </c>
      <c r="K234" t="s">
        <v>19</v>
      </c>
      <c r="L234" t="s">
        <v>33</v>
      </c>
      <c r="M234">
        <v>2</v>
      </c>
      <c r="N234">
        <v>11</v>
      </c>
      <c r="O234" t="s">
        <v>2530</v>
      </c>
    </row>
    <row r="235" spans="1:15">
      <c r="A235" t="s">
        <v>2085</v>
      </c>
      <c r="B235" t="s">
        <v>30</v>
      </c>
      <c r="C235">
        <v>1</v>
      </c>
      <c r="D235">
        <v>36.1</v>
      </c>
      <c r="E235">
        <v>36.1</v>
      </c>
      <c r="F235" s="12">
        <v>45730</v>
      </c>
      <c r="G235" s="12">
        <v>45731</v>
      </c>
      <c r="H235" t="s">
        <v>27</v>
      </c>
      <c r="I235" t="s">
        <v>70</v>
      </c>
      <c r="J235">
        <v>4</v>
      </c>
      <c r="K235" t="s">
        <v>19</v>
      </c>
      <c r="L235" t="s">
        <v>33</v>
      </c>
      <c r="M235">
        <v>1</v>
      </c>
      <c r="N235">
        <v>11</v>
      </c>
      <c r="O235" t="s">
        <v>2530</v>
      </c>
    </row>
    <row r="236" spans="1:15">
      <c r="A236" t="s">
        <v>2084</v>
      </c>
      <c r="B236" t="s">
        <v>54</v>
      </c>
      <c r="C236">
        <v>2</v>
      </c>
      <c r="D236">
        <v>35.299999999999997</v>
      </c>
      <c r="E236">
        <v>70.599999999999994</v>
      </c>
      <c r="F236" s="12">
        <v>45730</v>
      </c>
      <c r="G236" s="12">
        <v>45734</v>
      </c>
      <c r="H236" t="s">
        <v>23</v>
      </c>
      <c r="I236" t="s">
        <v>18</v>
      </c>
      <c r="J236">
        <v>5</v>
      </c>
      <c r="K236" t="s">
        <v>19</v>
      </c>
      <c r="L236" t="s">
        <v>33</v>
      </c>
      <c r="M236">
        <v>4</v>
      </c>
      <c r="N236">
        <v>11</v>
      </c>
      <c r="O236" t="s">
        <v>2531</v>
      </c>
    </row>
    <row r="237" spans="1:15">
      <c r="A237" t="s">
        <v>2083</v>
      </c>
      <c r="B237" t="s">
        <v>22</v>
      </c>
      <c r="C237">
        <v>1</v>
      </c>
      <c r="D237">
        <v>81.400000000000006</v>
      </c>
      <c r="E237">
        <v>81.400000000000006</v>
      </c>
      <c r="F237" s="12">
        <v>45730</v>
      </c>
      <c r="G237" s="12">
        <v>45731</v>
      </c>
      <c r="H237" t="s">
        <v>27</v>
      </c>
      <c r="I237" t="s">
        <v>40</v>
      </c>
      <c r="J237">
        <v>5</v>
      </c>
      <c r="K237" t="s">
        <v>19</v>
      </c>
      <c r="L237" t="s">
        <v>33</v>
      </c>
      <c r="M237">
        <v>1</v>
      </c>
      <c r="N237">
        <v>11</v>
      </c>
      <c r="O237" t="s">
        <v>2530</v>
      </c>
    </row>
    <row r="238" spans="1:15">
      <c r="A238" t="s">
        <v>314</v>
      </c>
      <c r="B238" t="s">
        <v>39</v>
      </c>
      <c r="C238">
        <v>41</v>
      </c>
      <c r="D238">
        <v>57.8</v>
      </c>
      <c r="E238">
        <v>2369.7999999999997</v>
      </c>
      <c r="F238" s="12">
        <v>45667</v>
      </c>
      <c r="G238" s="12">
        <v>45669</v>
      </c>
      <c r="H238" t="s">
        <v>27</v>
      </c>
      <c r="I238" t="s">
        <v>18</v>
      </c>
      <c r="J238">
        <v>5</v>
      </c>
      <c r="K238" t="s">
        <v>19</v>
      </c>
      <c r="L238" t="s">
        <v>33</v>
      </c>
      <c r="M238">
        <v>2</v>
      </c>
      <c r="N238">
        <v>2</v>
      </c>
      <c r="O238" t="s">
        <v>2530</v>
      </c>
    </row>
    <row r="239" spans="1:15">
      <c r="A239" t="s">
        <v>315</v>
      </c>
      <c r="B239" t="s">
        <v>54</v>
      </c>
      <c r="C239">
        <v>3</v>
      </c>
      <c r="D239">
        <v>67.599999999999994</v>
      </c>
      <c r="E239">
        <v>202.79999999999998</v>
      </c>
      <c r="F239" s="12">
        <v>45667</v>
      </c>
      <c r="G239" s="12">
        <v>45668</v>
      </c>
      <c r="H239" t="s">
        <v>27</v>
      </c>
      <c r="I239" t="s">
        <v>18</v>
      </c>
      <c r="J239">
        <v>4</v>
      </c>
      <c r="K239" t="s">
        <v>19</v>
      </c>
      <c r="L239" t="s">
        <v>33</v>
      </c>
      <c r="M239">
        <v>1</v>
      </c>
      <c r="N239">
        <v>2</v>
      </c>
      <c r="O239" t="s">
        <v>2530</v>
      </c>
    </row>
    <row r="240" spans="1:15">
      <c r="A240" t="s">
        <v>316</v>
      </c>
      <c r="B240" t="s">
        <v>39</v>
      </c>
      <c r="C240">
        <v>6</v>
      </c>
      <c r="D240">
        <v>66.7</v>
      </c>
      <c r="E240">
        <v>400.20000000000005</v>
      </c>
      <c r="F240" s="12">
        <v>45667</v>
      </c>
      <c r="G240" s="12">
        <v>45671</v>
      </c>
      <c r="H240" t="s">
        <v>23</v>
      </c>
      <c r="I240" t="s">
        <v>70</v>
      </c>
      <c r="J240">
        <v>3</v>
      </c>
      <c r="K240" t="s">
        <v>19</v>
      </c>
      <c r="L240" t="s">
        <v>33</v>
      </c>
      <c r="M240">
        <v>4</v>
      </c>
      <c r="N240">
        <v>2</v>
      </c>
      <c r="O240" t="s">
        <v>2531</v>
      </c>
    </row>
    <row r="241" spans="1:15">
      <c r="A241" t="s">
        <v>317</v>
      </c>
      <c r="B241" t="s">
        <v>22</v>
      </c>
      <c r="C241">
        <v>4</v>
      </c>
      <c r="D241">
        <v>53.1</v>
      </c>
      <c r="E241">
        <v>212.4</v>
      </c>
      <c r="F241" s="12">
        <v>45667</v>
      </c>
      <c r="G241" s="12">
        <v>45669</v>
      </c>
      <c r="H241" t="s">
        <v>27</v>
      </c>
      <c r="I241" t="s">
        <v>35</v>
      </c>
      <c r="J241">
        <v>4</v>
      </c>
      <c r="K241" t="s">
        <v>19</v>
      </c>
      <c r="L241" t="s">
        <v>33</v>
      </c>
      <c r="M241">
        <v>2</v>
      </c>
      <c r="N241">
        <v>2</v>
      </c>
      <c r="O241" t="s">
        <v>2530</v>
      </c>
    </row>
    <row r="242" spans="1:15">
      <c r="A242" t="s">
        <v>2082</v>
      </c>
      <c r="B242" t="s">
        <v>128</v>
      </c>
      <c r="C242">
        <v>3</v>
      </c>
      <c r="D242">
        <v>57.3</v>
      </c>
      <c r="E242">
        <v>171.89999999999998</v>
      </c>
      <c r="F242" s="12">
        <v>45730</v>
      </c>
      <c r="G242" s="12">
        <v>45734</v>
      </c>
      <c r="H242" t="s">
        <v>27</v>
      </c>
      <c r="I242" t="s">
        <v>18</v>
      </c>
      <c r="J242">
        <v>5</v>
      </c>
      <c r="K242" t="s">
        <v>19</v>
      </c>
      <c r="L242" t="s">
        <v>33</v>
      </c>
      <c r="M242">
        <v>4</v>
      </c>
      <c r="N242">
        <v>11</v>
      </c>
      <c r="O242" t="s">
        <v>2530</v>
      </c>
    </row>
    <row r="243" spans="1:15">
      <c r="A243" t="s">
        <v>2081</v>
      </c>
      <c r="B243" t="s">
        <v>32</v>
      </c>
      <c r="C243">
        <v>10</v>
      </c>
      <c r="D243">
        <v>36</v>
      </c>
      <c r="E243">
        <v>360</v>
      </c>
      <c r="F243" s="12">
        <v>45730</v>
      </c>
      <c r="G243" s="12">
        <v>45730</v>
      </c>
      <c r="H243" t="s">
        <v>23</v>
      </c>
      <c r="I243" t="s">
        <v>51</v>
      </c>
      <c r="J243">
        <v>5</v>
      </c>
      <c r="K243" t="s">
        <v>19</v>
      </c>
      <c r="L243" t="s">
        <v>33</v>
      </c>
      <c r="M243">
        <v>0</v>
      </c>
      <c r="N243">
        <v>11</v>
      </c>
      <c r="O243" t="s">
        <v>2531</v>
      </c>
    </row>
    <row r="244" spans="1:15">
      <c r="A244" t="s">
        <v>2060</v>
      </c>
      <c r="B244" t="s">
        <v>54</v>
      </c>
      <c r="C244">
        <v>3</v>
      </c>
      <c r="D244">
        <v>58.4</v>
      </c>
      <c r="E244">
        <v>175.2</v>
      </c>
      <c r="F244" s="12">
        <v>45729</v>
      </c>
      <c r="G244" s="12">
        <v>45731</v>
      </c>
      <c r="H244" t="s">
        <v>27</v>
      </c>
      <c r="I244" t="s">
        <v>35</v>
      </c>
      <c r="J244">
        <v>5</v>
      </c>
      <c r="K244" t="s">
        <v>19</v>
      </c>
      <c r="L244" t="s">
        <v>33</v>
      </c>
      <c r="M244">
        <v>2</v>
      </c>
      <c r="N244">
        <v>11</v>
      </c>
      <c r="O244" t="s">
        <v>2530</v>
      </c>
    </row>
    <row r="245" spans="1:15">
      <c r="A245" t="s">
        <v>2059</v>
      </c>
      <c r="B245" t="s">
        <v>26</v>
      </c>
      <c r="C245">
        <v>1</v>
      </c>
      <c r="D245">
        <v>94.5</v>
      </c>
      <c r="E245">
        <v>94.5</v>
      </c>
      <c r="F245" s="12">
        <v>45729</v>
      </c>
      <c r="G245" s="12">
        <v>45732</v>
      </c>
      <c r="H245" t="s">
        <v>23</v>
      </c>
      <c r="I245" t="s">
        <v>35</v>
      </c>
      <c r="J245">
        <v>3</v>
      </c>
      <c r="K245" t="s">
        <v>19</v>
      </c>
      <c r="L245" t="s">
        <v>33</v>
      </c>
      <c r="M245">
        <v>3</v>
      </c>
      <c r="N245">
        <v>11</v>
      </c>
      <c r="O245" t="s">
        <v>2531</v>
      </c>
    </row>
    <row r="246" spans="1:15">
      <c r="A246" t="s">
        <v>2058</v>
      </c>
      <c r="B246" t="s">
        <v>22</v>
      </c>
      <c r="C246">
        <v>1</v>
      </c>
      <c r="D246">
        <v>48</v>
      </c>
      <c r="E246">
        <v>48</v>
      </c>
      <c r="F246" s="12">
        <v>45729</v>
      </c>
      <c r="G246" s="12">
        <v>45731</v>
      </c>
      <c r="H246" t="s">
        <v>27</v>
      </c>
      <c r="I246" t="s">
        <v>35</v>
      </c>
      <c r="J246">
        <v>5</v>
      </c>
      <c r="K246" t="s">
        <v>19</v>
      </c>
      <c r="L246" t="s">
        <v>33</v>
      </c>
      <c r="M246">
        <v>2</v>
      </c>
      <c r="N246">
        <v>11</v>
      </c>
      <c r="O246" t="s">
        <v>2530</v>
      </c>
    </row>
    <row r="247" spans="1:15">
      <c r="A247" t="s">
        <v>2057</v>
      </c>
      <c r="B247" t="s">
        <v>26</v>
      </c>
      <c r="C247">
        <v>2</v>
      </c>
      <c r="D247">
        <v>76.900000000000006</v>
      </c>
      <c r="E247">
        <v>153.80000000000001</v>
      </c>
      <c r="F247" s="12">
        <v>45729</v>
      </c>
      <c r="G247" s="12">
        <v>45733</v>
      </c>
      <c r="H247" t="s">
        <v>27</v>
      </c>
      <c r="I247" t="s">
        <v>18</v>
      </c>
      <c r="J247">
        <v>3</v>
      </c>
      <c r="K247" t="s">
        <v>19</v>
      </c>
      <c r="L247" t="s">
        <v>33</v>
      </c>
      <c r="M247">
        <v>4</v>
      </c>
      <c r="N247">
        <v>11</v>
      </c>
      <c r="O247" t="s">
        <v>2530</v>
      </c>
    </row>
    <row r="248" spans="1:15">
      <c r="A248" t="s">
        <v>2056</v>
      </c>
      <c r="B248" t="s">
        <v>128</v>
      </c>
      <c r="C248">
        <v>4</v>
      </c>
      <c r="D248">
        <v>77.3</v>
      </c>
      <c r="E248">
        <v>309.2</v>
      </c>
      <c r="F248" s="12">
        <v>45729</v>
      </c>
      <c r="G248" s="12">
        <v>45731</v>
      </c>
      <c r="H248" t="s">
        <v>27</v>
      </c>
      <c r="I248" t="s">
        <v>70</v>
      </c>
      <c r="J248">
        <v>5</v>
      </c>
      <c r="K248" t="s">
        <v>19</v>
      </c>
      <c r="L248" t="s">
        <v>33</v>
      </c>
      <c r="M248">
        <v>2</v>
      </c>
      <c r="N248">
        <v>11</v>
      </c>
      <c r="O248" t="s">
        <v>2530</v>
      </c>
    </row>
    <row r="249" spans="1:15">
      <c r="A249" t="s">
        <v>2043</v>
      </c>
      <c r="B249" t="s">
        <v>26</v>
      </c>
      <c r="C249">
        <v>1</v>
      </c>
      <c r="D249">
        <v>56.5</v>
      </c>
      <c r="E249">
        <v>56.5</v>
      </c>
      <c r="F249" s="12">
        <v>45728</v>
      </c>
      <c r="G249" s="12">
        <v>45729</v>
      </c>
      <c r="H249" t="s">
        <v>27</v>
      </c>
      <c r="I249" t="s">
        <v>40</v>
      </c>
      <c r="J249">
        <v>3</v>
      </c>
      <c r="K249" t="s">
        <v>19</v>
      </c>
      <c r="L249" t="s">
        <v>33</v>
      </c>
      <c r="M249">
        <v>1</v>
      </c>
      <c r="N249">
        <v>11</v>
      </c>
      <c r="O249" t="s">
        <v>2530</v>
      </c>
    </row>
    <row r="250" spans="1:15">
      <c r="A250" t="s">
        <v>2042</v>
      </c>
      <c r="B250" t="s">
        <v>123</v>
      </c>
      <c r="C250">
        <v>7</v>
      </c>
      <c r="D250">
        <v>37.9</v>
      </c>
      <c r="E250">
        <v>265.3</v>
      </c>
      <c r="F250" s="12">
        <v>45728</v>
      </c>
      <c r="G250" s="12">
        <v>45729</v>
      </c>
      <c r="H250" t="s">
        <v>23</v>
      </c>
      <c r="I250" t="s">
        <v>35</v>
      </c>
      <c r="J250">
        <v>4</v>
      </c>
      <c r="K250" t="s">
        <v>19</v>
      </c>
      <c r="L250" t="s">
        <v>33</v>
      </c>
      <c r="M250">
        <v>1</v>
      </c>
      <c r="N250">
        <v>11</v>
      </c>
      <c r="O250" t="s">
        <v>2531</v>
      </c>
    </row>
    <row r="251" spans="1:15">
      <c r="A251" t="s">
        <v>2041</v>
      </c>
      <c r="B251" t="s">
        <v>67</v>
      </c>
      <c r="C251">
        <v>11</v>
      </c>
      <c r="D251">
        <v>29.5</v>
      </c>
      <c r="E251">
        <v>324.5</v>
      </c>
      <c r="F251" s="12">
        <v>45728</v>
      </c>
      <c r="G251" s="12">
        <v>45729</v>
      </c>
      <c r="H251" t="s">
        <v>23</v>
      </c>
      <c r="I251" t="s">
        <v>18</v>
      </c>
      <c r="J251">
        <v>4</v>
      </c>
      <c r="K251" t="s">
        <v>19</v>
      </c>
      <c r="L251" t="s">
        <v>33</v>
      </c>
      <c r="M251">
        <v>1</v>
      </c>
      <c r="N251">
        <v>11</v>
      </c>
      <c r="O251" t="s">
        <v>2531</v>
      </c>
    </row>
    <row r="252" spans="1:15">
      <c r="A252" t="s">
        <v>2040</v>
      </c>
      <c r="B252" t="s">
        <v>16</v>
      </c>
      <c r="C252">
        <v>2</v>
      </c>
      <c r="D252">
        <v>20.2</v>
      </c>
      <c r="E252">
        <v>40.4</v>
      </c>
      <c r="F252" s="12">
        <v>45728</v>
      </c>
      <c r="G252" s="12">
        <v>45729</v>
      </c>
      <c r="H252" t="s">
        <v>23</v>
      </c>
      <c r="I252" t="s">
        <v>18</v>
      </c>
      <c r="J252">
        <v>3</v>
      </c>
      <c r="K252" t="s">
        <v>19</v>
      </c>
      <c r="L252" t="s">
        <v>33</v>
      </c>
      <c r="M252">
        <v>1</v>
      </c>
      <c r="N252">
        <v>11</v>
      </c>
      <c r="O252" t="s">
        <v>2531</v>
      </c>
    </row>
    <row r="253" spans="1:15">
      <c r="A253" t="s">
        <v>2039</v>
      </c>
      <c r="B253" t="s">
        <v>22</v>
      </c>
      <c r="C253">
        <v>7</v>
      </c>
      <c r="D253">
        <v>73.900000000000006</v>
      </c>
      <c r="E253">
        <v>517.30000000000007</v>
      </c>
      <c r="F253" s="12">
        <v>45728</v>
      </c>
      <c r="G253" s="12">
        <v>45728</v>
      </c>
      <c r="H253" t="s">
        <v>27</v>
      </c>
      <c r="I253" t="s">
        <v>18</v>
      </c>
      <c r="J253">
        <v>3</v>
      </c>
      <c r="K253" t="s">
        <v>19</v>
      </c>
      <c r="L253" t="s">
        <v>33</v>
      </c>
      <c r="M253">
        <v>0</v>
      </c>
      <c r="N253">
        <v>11</v>
      </c>
      <c r="O253" t="s">
        <v>2530</v>
      </c>
    </row>
    <row r="254" spans="1:15">
      <c r="A254" t="s">
        <v>2038</v>
      </c>
      <c r="B254" t="s">
        <v>22</v>
      </c>
      <c r="C254">
        <v>3</v>
      </c>
      <c r="D254">
        <v>63.8</v>
      </c>
      <c r="E254">
        <v>191.39999999999998</v>
      </c>
      <c r="F254" s="12">
        <v>45728</v>
      </c>
      <c r="G254" s="12">
        <v>45733</v>
      </c>
      <c r="H254" t="s">
        <v>27</v>
      </c>
      <c r="I254" t="s">
        <v>40</v>
      </c>
      <c r="J254">
        <v>3</v>
      </c>
      <c r="K254" t="s">
        <v>19</v>
      </c>
      <c r="L254" t="s">
        <v>33</v>
      </c>
      <c r="M254">
        <v>5</v>
      </c>
      <c r="N254">
        <v>11</v>
      </c>
      <c r="O254" t="s">
        <v>2530</v>
      </c>
    </row>
    <row r="255" spans="1:15">
      <c r="A255" t="s">
        <v>2037</v>
      </c>
      <c r="B255" t="s">
        <v>44</v>
      </c>
      <c r="C255">
        <v>1</v>
      </c>
      <c r="D255">
        <v>16.3</v>
      </c>
      <c r="E255">
        <v>16.3</v>
      </c>
      <c r="F255" s="12">
        <v>45728</v>
      </c>
      <c r="G255" s="12">
        <v>45729</v>
      </c>
      <c r="H255" t="s">
        <v>23</v>
      </c>
      <c r="I255" t="s">
        <v>51</v>
      </c>
      <c r="J255">
        <v>4</v>
      </c>
      <c r="K255" t="s">
        <v>19</v>
      </c>
      <c r="L255" t="s">
        <v>33</v>
      </c>
      <c r="M255">
        <v>1</v>
      </c>
      <c r="N255">
        <v>11</v>
      </c>
      <c r="O255" t="s">
        <v>2531</v>
      </c>
    </row>
    <row r="256" spans="1:15">
      <c r="A256" t="s">
        <v>2036</v>
      </c>
      <c r="B256" t="s">
        <v>135</v>
      </c>
      <c r="C256">
        <v>1</v>
      </c>
      <c r="D256">
        <v>30.1</v>
      </c>
      <c r="E256">
        <v>30.1</v>
      </c>
      <c r="F256" s="12">
        <v>45728</v>
      </c>
      <c r="G256" s="12">
        <v>45731</v>
      </c>
      <c r="H256" t="s">
        <v>27</v>
      </c>
      <c r="I256" t="s">
        <v>51</v>
      </c>
      <c r="J256">
        <v>3</v>
      </c>
      <c r="K256" t="s">
        <v>19</v>
      </c>
      <c r="L256" t="s">
        <v>33</v>
      </c>
      <c r="M256">
        <v>3</v>
      </c>
      <c r="N256">
        <v>11</v>
      </c>
      <c r="O256" t="s">
        <v>2530</v>
      </c>
    </row>
    <row r="257" spans="1:15">
      <c r="A257" t="s">
        <v>335</v>
      </c>
      <c r="B257" t="s">
        <v>26</v>
      </c>
      <c r="C257">
        <v>7</v>
      </c>
      <c r="D257">
        <v>61.7</v>
      </c>
      <c r="E257">
        <v>431.90000000000003</v>
      </c>
      <c r="F257" s="12">
        <v>45668</v>
      </c>
      <c r="G257" s="12">
        <v>45670</v>
      </c>
      <c r="H257" t="s">
        <v>27</v>
      </c>
      <c r="I257" t="s">
        <v>70</v>
      </c>
      <c r="J257">
        <v>4</v>
      </c>
      <c r="K257" t="s">
        <v>19</v>
      </c>
      <c r="L257" t="s">
        <v>33</v>
      </c>
      <c r="M257">
        <v>2</v>
      </c>
      <c r="N257">
        <v>2</v>
      </c>
      <c r="O257" t="s">
        <v>2530</v>
      </c>
    </row>
    <row r="258" spans="1:15">
      <c r="A258" t="s">
        <v>336</v>
      </c>
      <c r="B258" t="s">
        <v>46</v>
      </c>
      <c r="C258">
        <v>3</v>
      </c>
      <c r="D258">
        <v>45.1</v>
      </c>
      <c r="E258">
        <v>135.30000000000001</v>
      </c>
      <c r="F258" s="12">
        <v>45669</v>
      </c>
      <c r="G258" s="12">
        <v>45670</v>
      </c>
      <c r="H258" t="s">
        <v>23</v>
      </c>
      <c r="I258" t="s">
        <v>70</v>
      </c>
      <c r="J258">
        <v>3</v>
      </c>
      <c r="K258" t="s">
        <v>19</v>
      </c>
      <c r="L258" t="s">
        <v>33</v>
      </c>
      <c r="M258">
        <v>1</v>
      </c>
      <c r="N258">
        <v>3</v>
      </c>
      <c r="O258" t="s">
        <v>2531</v>
      </c>
    </row>
    <row r="259" spans="1:15">
      <c r="A259" t="s">
        <v>2035</v>
      </c>
      <c r="B259" t="s">
        <v>81</v>
      </c>
      <c r="C259">
        <v>1</v>
      </c>
      <c r="D259">
        <v>18.7</v>
      </c>
      <c r="E259">
        <v>18.7</v>
      </c>
      <c r="F259" s="12">
        <v>45728</v>
      </c>
      <c r="G259" s="12">
        <v>45729</v>
      </c>
      <c r="H259" t="s">
        <v>23</v>
      </c>
      <c r="I259" t="s">
        <v>18</v>
      </c>
      <c r="J259">
        <v>4</v>
      </c>
      <c r="K259" t="s">
        <v>19</v>
      </c>
      <c r="L259" t="s">
        <v>33</v>
      </c>
      <c r="M259">
        <v>1</v>
      </c>
      <c r="N259">
        <v>11</v>
      </c>
      <c r="O259" t="s">
        <v>2531</v>
      </c>
    </row>
    <row r="260" spans="1:15">
      <c r="A260" t="s">
        <v>2013</v>
      </c>
      <c r="B260" t="s">
        <v>22</v>
      </c>
      <c r="C260">
        <v>1</v>
      </c>
      <c r="D260">
        <v>40.299999999999997</v>
      </c>
      <c r="E260">
        <v>40.299999999999997</v>
      </c>
      <c r="F260" s="12">
        <v>45727</v>
      </c>
      <c r="G260" s="12">
        <v>45728</v>
      </c>
      <c r="H260" t="s">
        <v>89</v>
      </c>
      <c r="I260" t="s">
        <v>35</v>
      </c>
      <c r="J260">
        <v>4</v>
      </c>
      <c r="K260" t="s">
        <v>19</v>
      </c>
      <c r="L260" t="s">
        <v>33</v>
      </c>
      <c r="M260">
        <v>1</v>
      </c>
      <c r="N260">
        <v>11</v>
      </c>
      <c r="O260" t="s">
        <v>2532</v>
      </c>
    </row>
    <row r="261" spans="1:15">
      <c r="A261" t="s">
        <v>2012</v>
      </c>
      <c r="B261" t="s">
        <v>44</v>
      </c>
      <c r="C261">
        <v>3</v>
      </c>
      <c r="D261">
        <v>19.7</v>
      </c>
      <c r="E261">
        <v>59.099999999999994</v>
      </c>
      <c r="F261" s="12">
        <v>45727</v>
      </c>
      <c r="G261" s="12">
        <v>45728</v>
      </c>
      <c r="H261" t="s">
        <v>27</v>
      </c>
      <c r="I261" t="s">
        <v>70</v>
      </c>
      <c r="J261">
        <v>2</v>
      </c>
      <c r="K261" t="s">
        <v>19</v>
      </c>
      <c r="L261" t="s">
        <v>33</v>
      </c>
      <c r="M261">
        <v>1</v>
      </c>
      <c r="N261">
        <v>11</v>
      </c>
      <c r="O261" t="s">
        <v>2530</v>
      </c>
    </row>
    <row r="262" spans="1:15">
      <c r="A262" t="s">
        <v>2011</v>
      </c>
      <c r="B262" t="s">
        <v>39</v>
      </c>
      <c r="C262">
        <v>11</v>
      </c>
      <c r="D262">
        <v>111.1</v>
      </c>
      <c r="E262">
        <v>1222.0999999999999</v>
      </c>
      <c r="F262" s="12">
        <v>45727</v>
      </c>
      <c r="G262" s="12">
        <v>45728</v>
      </c>
      <c r="H262" t="s">
        <v>27</v>
      </c>
      <c r="I262" t="s">
        <v>70</v>
      </c>
      <c r="J262">
        <v>4</v>
      </c>
      <c r="K262" t="s">
        <v>19</v>
      </c>
      <c r="L262" t="s">
        <v>33</v>
      </c>
      <c r="M262">
        <v>1</v>
      </c>
      <c r="N262">
        <v>11</v>
      </c>
      <c r="O262" t="s">
        <v>2530</v>
      </c>
    </row>
    <row r="263" spans="1:15">
      <c r="A263" t="s">
        <v>2010</v>
      </c>
      <c r="B263" t="s">
        <v>146</v>
      </c>
      <c r="C263">
        <v>4</v>
      </c>
      <c r="D263">
        <v>44.5</v>
      </c>
      <c r="E263">
        <v>178</v>
      </c>
      <c r="F263" s="12">
        <v>45727</v>
      </c>
      <c r="G263" s="12">
        <v>45730</v>
      </c>
      <c r="H263" t="s">
        <v>17</v>
      </c>
      <c r="I263" t="s">
        <v>35</v>
      </c>
      <c r="J263">
        <v>4</v>
      </c>
      <c r="K263" t="s">
        <v>19</v>
      </c>
      <c r="L263" t="s">
        <v>33</v>
      </c>
      <c r="M263">
        <v>3</v>
      </c>
      <c r="N263">
        <v>11</v>
      </c>
      <c r="O263" t="s">
        <v>2533</v>
      </c>
    </row>
    <row r="264" spans="1:15">
      <c r="A264" t="s">
        <v>2009</v>
      </c>
      <c r="B264" t="s">
        <v>26</v>
      </c>
      <c r="C264">
        <v>1</v>
      </c>
      <c r="D264">
        <v>67.3</v>
      </c>
      <c r="E264">
        <v>67.3</v>
      </c>
      <c r="F264" s="12">
        <v>45727</v>
      </c>
      <c r="G264" s="12">
        <v>45728</v>
      </c>
      <c r="H264" t="s">
        <v>27</v>
      </c>
      <c r="I264" t="s">
        <v>18</v>
      </c>
      <c r="J264">
        <v>5</v>
      </c>
      <c r="K264" t="s">
        <v>19</v>
      </c>
      <c r="L264" t="s">
        <v>33</v>
      </c>
      <c r="M264">
        <v>1</v>
      </c>
      <c r="N264">
        <v>11</v>
      </c>
      <c r="O264" t="s">
        <v>2530</v>
      </c>
    </row>
    <row r="265" spans="1:15">
      <c r="A265" t="s">
        <v>2008</v>
      </c>
      <c r="B265" t="s">
        <v>54</v>
      </c>
      <c r="C265">
        <v>2</v>
      </c>
      <c r="D265">
        <v>49.4</v>
      </c>
      <c r="E265">
        <v>98.8</v>
      </c>
      <c r="F265" s="12">
        <v>45727</v>
      </c>
      <c r="G265" s="12">
        <v>45729</v>
      </c>
      <c r="H265" t="s">
        <v>23</v>
      </c>
      <c r="I265" t="s">
        <v>35</v>
      </c>
      <c r="J265">
        <v>4</v>
      </c>
      <c r="K265" t="s">
        <v>19</v>
      </c>
      <c r="L265" t="s">
        <v>33</v>
      </c>
      <c r="M265">
        <v>2</v>
      </c>
      <c r="N265">
        <v>11</v>
      </c>
      <c r="O265" t="s">
        <v>2531</v>
      </c>
    </row>
    <row r="266" spans="1:15">
      <c r="A266" t="s">
        <v>2007</v>
      </c>
      <c r="B266" t="s">
        <v>46</v>
      </c>
      <c r="C266">
        <v>2</v>
      </c>
      <c r="D266">
        <v>40.1</v>
      </c>
      <c r="E266">
        <v>80.2</v>
      </c>
      <c r="F266" s="12">
        <v>45727</v>
      </c>
      <c r="G266" s="12">
        <v>45730</v>
      </c>
      <c r="H266" t="s">
        <v>23</v>
      </c>
      <c r="I266" t="s">
        <v>35</v>
      </c>
      <c r="J266">
        <v>5</v>
      </c>
      <c r="K266" t="s">
        <v>19</v>
      </c>
      <c r="L266" t="s">
        <v>33</v>
      </c>
      <c r="M266">
        <v>3</v>
      </c>
      <c r="N266">
        <v>11</v>
      </c>
      <c r="O266" t="s">
        <v>2531</v>
      </c>
    </row>
    <row r="267" spans="1:15">
      <c r="A267" t="s">
        <v>2006</v>
      </c>
      <c r="B267" t="s">
        <v>69</v>
      </c>
      <c r="C267">
        <v>5</v>
      </c>
      <c r="D267">
        <v>32.6</v>
      </c>
      <c r="E267">
        <v>163</v>
      </c>
      <c r="F267" s="12">
        <v>45727</v>
      </c>
      <c r="G267" s="12">
        <v>45728</v>
      </c>
      <c r="H267" t="s">
        <v>27</v>
      </c>
      <c r="I267" t="s">
        <v>18</v>
      </c>
      <c r="J267">
        <v>4</v>
      </c>
      <c r="K267" t="s">
        <v>19</v>
      </c>
      <c r="L267" t="s">
        <v>33</v>
      </c>
      <c r="M267">
        <v>1</v>
      </c>
      <c r="N267">
        <v>11</v>
      </c>
      <c r="O267" t="s">
        <v>2530</v>
      </c>
    </row>
    <row r="268" spans="1:15">
      <c r="A268" t="s">
        <v>2005</v>
      </c>
      <c r="B268" t="s">
        <v>22</v>
      </c>
      <c r="C268">
        <v>1</v>
      </c>
      <c r="D268">
        <v>49.8</v>
      </c>
      <c r="E268">
        <v>49.8</v>
      </c>
      <c r="F268" s="12">
        <v>45727</v>
      </c>
      <c r="G268" s="12">
        <v>45728</v>
      </c>
      <c r="H268" t="s">
        <v>27</v>
      </c>
      <c r="I268" t="s">
        <v>18</v>
      </c>
      <c r="J268">
        <v>4</v>
      </c>
      <c r="K268" t="s">
        <v>19</v>
      </c>
      <c r="L268" t="s">
        <v>33</v>
      </c>
      <c r="M268">
        <v>1</v>
      </c>
      <c r="N268">
        <v>11</v>
      </c>
      <c r="O268" t="s">
        <v>2530</v>
      </c>
    </row>
    <row r="269" spans="1:15">
      <c r="A269" t="s">
        <v>2004</v>
      </c>
      <c r="B269" t="s">
        <v>26</v>
      </c>
      <c r="C269">
        <v>2</v>
      </c>
      <c r="D269">
        <v>97.3</v>
      </c>
      <c r="E269">
        <v>194.6</v>
      </c>
      <c r="F269" s="12">
        <v>45727</v>
      </c>
      <c r="G269" s="12">
        <v>45728</v>
      </c>
      <c r="H269" t="s">
        <v>23</v>
      </c>
      <c r="I269" t="s">
        <v>40</v>
      </c>
      <c r="J269">
        <v>2</v>
      </c>
      <c r="K269" t="s">
        <v>19</v>
      </c>
      <c r="L269" t="s">
        <v>33</v>
      </c>
      <c r="M269">
        <v>1</v>
      </c>
      <c r="N269">
        <v>11</v>
      </c>
      <c r="O269" t="s">
        <v>2531</v>
      </c>
    </row>
    <row r="270" spans="1:15">
      <c r="A270" t="s">
        <v>2003</v>
      </c>
      <c r="B270" t="s">
        <v>26</v>
      </c>
      <c r="C270">
        <v>3</v>
      </c>
      <c r="D270">
        <v>217</v>
      </c>
      <c r="E270">
        <v>651</v>
      </c>
      <c r="F270" s="12">
        <v>45727</v>
      </c>
      <c r="G270" s="12">
        <v>45728</v>
      </c>
      <c r="H270" t="s">
        <v>27</v>
      </c>
      <c r="I270" t="s">
        <v>35</v>
      </c>
      <c r="J270">
        <v>3</v>
      </c>
      <c r="K270" t="s">
        <v>19</v>
      </c>
      <c r="L270" t="s">
        <v>33</v>
      </c>
      <c r="M270">
        <v>1</v>
      </c>
      <c r="N270">
        <v>11</v>
      </c>
      <c r="O270" t="s">
        <v>2530</v>
      </c>
    </row>
    <row r="271" spans="1:15">
      <c r="A271" t="s">
        <v>351</v>
      </c>
      <c r="B271" t="s">
        <v>39</v>
      </c>
      <c r="C271">
        <v>3</v>
      </c>
      <c r="D271">
        <v>90.9</v>
      </c>
      <c r="E271">
        <v>272.70000000000005</v>
      </c>
      <c r="F271" s="12">
        <v>45669</v>
      </c>
      <c r="G271" s="12">
        <v>45670</v>
      </c>
      <c r="H271" t="s">
        <v>27</v>
      </c>
      <c r="I271" t="s">
        <v>40</v>
      </c>
      <c r="J271">
        <v>2</v>
      </c>
      <c r="K271" t="s">
        <v>19</v>
      </c>
      <c r="L271" t="s">
        <v>33</v>
      </c>
      <c r="M271">
        <v>1</v>
      </c>
      <c r="N271">
        <v>3</v>
      </c>
      <c r="O271" t="s">
        <v>2530</v>
      </c>
    </row>
    <row r="272" spans="1:15">
      <c r="A272" t="s">
        <v>352</v>
      </c>
      <c r="B272" t="s">
        <v>44</v>
      </c>
      <c r="C272">
        <v>3</v>
      </c>
      <c r="D272">
        <v>44.5</v>
      </c>
      <c r="E272">
        <v>133.5</v>
      </c>
      <c r="F272" s="12">
        <v>45669</v>
      </c>
      <c r="G272" s="12">
        <v>45670</v>
      </c>
      <c r="H272" t="s">
        <v>27</v>
      </c>
      <c r="I272" t="s">
        <v>35</v>
      </c>
      <c r="J272">
        <v>4</v>
      </c>
      <c r="K272" t="s">
        <v>19</v>
      </c>
      <c r="L272" t="s">
        <v>33</v>
      </c>
      <c r="M272">
        <v>1</v>
      </c>
      <c r="N272">
        <v>3</v>
      </c>
      <c r="O272" t="s">
        <v>2530</v>
      </c>
    </row>
    <row r="273" spans="1:15">
      <c r="A273" t="s">
        <v>353</v>
      </c>
      <c r="B273" t="s">
        <v>46</v>
      </c>
      <c r="C273">
        <v>6</v>
      </c>
      <c r="D273">
        <v>32.299999999999997</v>
      </c>
      <c r="E273">
        <v>193.79999999999998</v>
      </c>
      <c r="F273" s="12">
        <v>45669</v>
      </c>
      <c r="G273" s="12">
        <v>45673</v>
      </c>
      <c r="H273" t="s">
        <v>27</v>
      </c>
      <c r="I273" t="s">
        <v>18</v>
      </c>
      <c r="J273">
        <v>4</v>
      </c>
      <c r="K273" t="s">
        <v>19</v>
      </c>
      <c r="L273" t="s">
        <v>33</v>
      </c>
      <c r="M273">
        <v>4</v>
      </c>
      <c r="N273">
        <v>3</v>
      </c>
      <c r="O273" t="s">
        <v>2530</v>
      </c>
    </row>
    <row r="274" spans="1:15">
      <c r="A274" t="s">
        <v>354</v>
      </c>
      <c r="B274" t="s">
        <v>135</v>
      </c>
      <c r="C274">
        <v>3</v>
      </c>
      <c r="D274">
        <v>87.5</v>
      </c>
      <c r="E274">
        <v>262.5</v>
      </c>
      <c r="F274" s="12">
        <v>45669</v>
      </c>
      <c r="G274" s="12">
        <v>45670</v>
      </c>
      <c r="H274" t="s">
        <v>27</v>
      </c>
      <c r="I274" t="s">
        <v>35</v>
      </c>
      <c r="J274">
        <v>3</v>
      </c>
      <c r="K274" t="s">
        <v>19</v>
      </c>
      <c r="L274" t="s">
        <v>33</v>
      </c>
      <c r="M274">
        <v>1</v>
      </c>
      <c r="N274">
        <v>3</v>
      </c>
      <c r="O274" t="s">
        <v>2530</v>
      </c>
    </row>
    <row r="275" spans="1:15">
      <c r="A275" t="s">
        <v>355</v>
      </c>
      <c r="B275" t="s">
        <v>128</v>
      </c>
      <c r="C275">
        <v>5</v>
      </c>
      <c r="D275">
        <v>48.7</v>
      </c>
      <c r="E275">
        <v>243.5</v>
      </c>
      <c r="F275" s="12">
        <v>45669</v>
      </c>
      <c r="G275" s="12">
        <v>45670</v>
      </c>
      <c r="H275" t="s">
        <v>23</v>
      </c>
      <c r="I275" t="s">
        <v>40</v>
      </c>
      <c r="J275">
        <v>4</v>
      </c>
      <c r="K275" t="s">
        <v>19</v>
      </c>
      <c r="L275" t="s">
        <v>33</v>
      </c>
      <c r="M275">
        <v>1</v>
      </c>
      <c r="N275">
        <v>3</v>
      </c>
      <c r="O275" t="s">
        <v>2531</v>
      </c>
    </row>
    <row r="276" spans="1:15">
      <c r="A276" t="s">
        <v>356</v>
      </c>
      <c r="B276" t="s">
        <v>16</v>
      </c>
      <c r="C276">
        <v>5</v>
      </c>
      <c r="D276">
        <v>22.5</v>
      </c>
      <c r="E276">
        <v>112.5</v>
      </c>
      <c r="F276" s="12">
        <v>45669</v>
      </c>
      <c r="G276" s="12">
        <v>45670</v>
      </c>
      <c r="H276" t="s">
        <v>23</v>
      </c>
      <c r="I276" t="s">
        <v>18</v>
      </c>
      <c r="J276">
        <v>4</v>
      </c>
      <c r="K276" t="s">
        <v>19</v>
      </c>
      <c r="L276" t="s">
        <v>33</v>
      </c>
      <c r="M276">
        <v>1</v>
      </c>
      <c r="N276">
        <v>3</v>
      </c>
      <c r="O276" t="s">
        <v>2531</v>
      </c>
    </row>
    <row r="277" spans="1:15">
      <c r="A277" t="s">
        <v>357</v>
      </c>
      <c r="B277" t="s">
        <v>22</v>
      </c>
      <c r="C277">
        <v>8</v>
      </c>
      <c r="D277">
        <v>65.900000000000006</v>
      </c>
      <c r="E277">
        <v>527.20000000000005</v>
      </c>
      <c r="F277" s="12">
        <v>45669</v>
      </c>
      <c r="G277" s="12">
        <v>45672</v>
      </c>
      <c r="H277" t="s">
        <v>27</v>
      </c>
      <c r="I277" t="s">
        <v>35</v>
      </c>
      <c r="J277">
        <v>5</v>
      </c>
      <c r="K277" t="s">
        <v>19</v>
      </c>
      <c r="L277" t="s">
        <v>33</v>
      </c>
      <c r="M277">
        <v>3</v>
      </c>
      <c r="N277">
        <v>3</v>
      </c>
      <c r="O277" t="s">
        <v>2530</v>
      </c>
    </row>
    <row r="278" spans="1:15">
      <c r="A278" t="s">
        <v>358</v>
      </c>
      <c r="B278" t="s">
        <v>39</v>
      </c>
      <c r="C278">
        <v>5</v>
      </c>
      <c r="D278">
        <v>41.9</v>
      </c>
      <c r="E278">
        <v>209.5</v>
      </c>
      <c r="F278" s="12">
        <v>45669</v>
      </c>
      <c r="G278" s="12">
        <v>45676</v>
      </c>
      <c r="H278" t="s">
        <v>17</v>
      </c>
      <c r="I278" t="s">
        <v>18</v>
      </c>
      <c r="J278">
        <v>4</v>
      </c>
      <c r="K278" t="s">
        <v>19</v>
      </c>
      <c r="L278" t="s">
        <v>33</v>
      </c>
      <c r="M278">
        <v>7</v>
      </c>
      <c r="N278">
        <v>3</v>
      </c>
      <c r="O278" t="s">
        <v>2533</v>
      </c>
    </row>
    <row r="279" spans="1:15">
      <c r="A279" t="s">
        <v>359</v>
      </c>
      <c r="B279" t="s">
        <v>22</v>
      </c>
      <c r="C279">
        <v>5</v>
      </c>
      <c r="D279">
        <v>67.5</v>
      </c>
      <c r="E279">
        <v>337.5</v>
      </c>
      <c r="F279" s="12">
        <v>45669</v>
      </c>
      <c r="G279" s="12">
        <v>45670</v>
      </c>
      <c r="H279" t="s">
        <v>27</v>
      </c>
      <c r="I279" t="s">
        <v>18</v>
      </c>
      <c r="J279">
        <v>5</v>
      </c>
      <c r="K279" t="s">
        <v>19</v>
      </c>
      <c r="L279" t="s">
        <v>33</v>
      </c>
      <c r="M279">
        <v>1</v>
      </c>
      <c r="N279">
        <v>3</v>
      </c>
      <c r="O279" t="s">
        <v>2530</v>
      </c>
    </row>
    <row r="280" spans="1:15">
      <c r="A280" t="s">
        <v>360</v>
      </c>
      <c r="B280" t="s">
        <v>46</v>
      </c>
      <c r="C280">
        <v>1</v>
      </c>
      <c r="D280">
        <v>60.4</v>
      </c>
      <c r="E280">
        <v>60.4</v>
      </c>
      <c r="F280" s="12">
        <v>45670</v>
      </c>
      <c r="G280" s="12">
        <v>45672</v>
      </c>
      <c r="H280" t="s">
        <v>27</v>
      </c>
      <c r="I280" t="s">
        <v>35</v>
      </c>
      <c r="J280">
        <v>3</v>
      </c>
      <c r="K280" t="s">
        <v>19</v>
      </c>
      <c r="L280" t="s">
        <v>33</v>
      </c>
      <c r="M280">
        <v>2</v>
      </c>
      <c r="N280">
        <v>3</v>
      </c>
      <c r="O280" t="s">
        <v>2530</v>
      </c>
    </row>
    <row r="281" spans="1:15">
      <c r="A281" t="s">
        <v>361</v>
      </c>
      <c r="B281" t="s">
        <v>22</v>
      </c>
      <c r="C281">
        <v>7</v>
      </c>
      <c r="D281">
        <v>30.4</v>
      </c>
      <c r="E281">
        <v>212.79999999999998</v>
      </c>
      <c r="F281" s="12">
        <v>45670</v>
      </c>
      <c r="G281" s="12">
        <v>45673</v>
      </c>
      <c r="H281" t="s">
        <v>27</v>
      </c>
      <c r="I281" t="s">
        <v>70</v>
      </c>
      <c r="J281">
        <v>4</v>
      </c>
      <c r="K281" t="s">
        <v>19</v>
      </c>
      <c r="L281" t="s">
        <v>33</v>
      </c>
      <c r="M281">
        <v>3</v>
      </c>
      <c r="N281">
        <v>3</v>
      </c>
      <c r="O281" t="s">
        <v>2530</v>
      </c>
    </row>
    <row r="282" spans="1:15">
      <c r="A282" t="s">
        <v>362</v>
      </c>
      <c r="B282" t="s">
        <v>81</v>
      </c>
      <c r="C282">
        <v>2</v>
      </c>
      <c r="D282">
        <v>24.5</v>
      </c>
      <c r="E282">
        <v>49</v>
      </c>
      <c r="F282" s="12">
        <v>45670</v>
      </c>
      <c r="G282" s="12">
        <v>45671</v>
      </c>
      <c r="H282" t="s">
        <v>23</v>
      </c>
      <c r="I282" t="s">
        <v>51</v>
      </c>
      <c r="J282">
        <v>5</v>
      </c>
      <c r="K282" t="s">
        <v>19</v>
      </c>
      <c r="L282" t="s">
        <v>33</v>
      </c>
      <c r="M282">
        <v>1</v>
      </c>
      <c r="N282">
        <v>3</v>
      </c>
      <c r="O282" t="s">
        <v>2531</v>
      </c>
    </row>
    <row r="283" spans="1:15">
      <c r="A283" t="s">
        <v>2002</v>
      </c>
      <c r="B283" t="s">
        <v>135</v>
      </c>
      <c r="C283">
        <v>5</v>
      </c>
      <c r="D283">
        <v>25.8</v>
      </c>
      <c r="E283">
        <v>129</v>
      </c>
      <c r="F283" s="12">
        <v>45727</v>
      </c>
      <c r="G283" s="12">
        <v>45727</v>
      </c>
      <c r="H283" t="s">
        <v>27</v>
      </c>
      <c r="I283" t="s">
        <v>35</v>
      </c>
      <c r="J283">
        <v>5</v>
      </c>
      <c r="K283" t="s">
        <v>19</v>
      </c>
      <c r="L283" t="s">
        <v>33</v>
      </c>
      <c r="M283">
        <v>0</v>
      </c>
      <c r="N283">
        <v>11</v>
      </c>
      <c r="O283" t="s">
        <v>2530</v>
      </c>
    </row>
    <row r="284" spans="1:15">
      <c r="A284" t="s">
        <v>1972</v>
      </c>
      <c r="B284" t="s">
        <v>54</v>
      </c>
      <c r="C284">
        <v>4</v>
      </c>
      <c r="D284">
        <v>45.3</v>
      </c>
      <c r="E284">
        <v>181.2</v>
      </c>
      <c r="F284" s="12">
        <v>45726</v>
      </c>
      <c r="G284" s="12">
        <v>45729</v>
      </c>
      <c r="H284" t="s">
        <v>27</v>
      </c>
      <c r="I284" t="s">
        <v>18</v>
      </c>
      <c r="J284">
        <v>5</v>
      </c>
      <c r="K284" t="s">
        <v>19</v>
      </c>
      <c r="L284" t="s">
        <v>33</v>
      </c>
      <c r="M284">
        <v>3</v>
      </c>
      <c r="N284">
        <v>11</v>
      </c>
      <c r="O284" t="s">
        <v>2530</v>
      </c>
    </row>
    <row r="285" spans="1:15">
      <c r="A285" t="s">
        <v>1971</v>
      </c>
      <c r="B285" t="s">
        <v>44</v>
      </c>
      <c r="C285">
        <v>5</v>
      </c>
      <c r="D285">
        <v>18.3</v>
      </c>
      <c r="E285">
        <v>91.5</v>
      </c>
      <c r="F285" s="12">
        <v>45726</v>
      </c>
      <c r="G285" s="12">
        <v>45726</v>
      </c>
      <c r="H285" t="s">
        <v>27</v>
      </c>
      <c r="I285" t="s">
        <v>40</v>
      </c>
      <c r="J285">
        <v>4</v>
      </c>
      <c r="K285" t="s">
        <v>19</v>
      </c>
      <c r="L285" t="s">
        <v>33</v>
      </c>
      <c r="M285">
        <v>0</v>
      </c>
      <c r="N285">
        <v>11</v>
      </c>
      <c r="O285" t="s">
        <v>2530</v>
      </c>
    </row>
    <row r="286" spans="1:15">
      <c r="A286" t="s">
        <v>1970</v>
      </c>
      <c r="B286" t="s">
        <v>32</v>
      </c>
      <c r="C286">
        <v>1</v>
      </c>
      <c r="D286">
        <v>42</v>
      </c>
      <c r="E286">
        <v>42</v>
      </c>
      <c r="F286" s="12">
        <v>45726</v>
      </c>
      <c r="G286" s="12">
        <v>45727</v>
      </c>
      <c r="H286" t="s">
        <v>89</v>
      </c>
      <c r="I286" t="s">
        <v>18</v>
      </c>
      <c r="J286">
        <v>4</v>
      </c>
      <c r="K286" t="s">
        <v>19</v>
      </c>
      <c r="L286" t="s">
        <v>33</v>
      </c>
      <c r="M286">
        <v>1</v>
      </c>
      <c r="N286">
        <v>11</v>
      </c>
      <c r="O286" t="s">
        <v>2532</v>
      </c>
    </row>
    <row r="287" spans="1:15">
      <c r="A287" t="s">
        <v>1969</v>
      </c>
      <c r="B287" t="s">
        <v>39</v>
      </c>
      <c r="C287">
        <v>4</v>
      </c>
      <c r="D287">
        <v>48.1</v>
      </c>
      <c r="E287">
        <v>192.4</v>
      </c>
      <c r="F287" s="12">
        <v>45726</v>
      </c>
      <c r="G287" s="12">
        <v>45727</v>
      </c>
      <c r="H287" t="s">
        <v>27</v>
      </c>
      <c r="I287" t="s">
        <v>70</v>
      </c>
      <c r="J287">
        <v>5</v>
      </c>
      <c r="K287" t="s">
        <v>19</v>
      </c>
      <c r="L287" t="s">
        <v>33</v>
      </c>
      <c r="M287">
        <v>1</v>
      </c>
      <c r="N287">
        <v>11</v>
      </c>
      <c r="O287" t="s">
        <v>2530</v>
      </c>
    </row>
    <row r="288" spans="1:15">
      <c r="A288" t="s">
        <v>1968</v>
      </c>
      <c r="B288" t="s">
        <v>123</v>
      </c>
      <c r="C288">
        <v>1</v>
      </c>
      <c r="D288">
        <v>43.1</v>
      </c>
      <c r="E288">
        <v>43.1</v>
      </c>
      <c r="F288" s="12">
        <v>45726</v>
      </c>
      <c r="G288" s="12">
        <v>45726</v>
      </c>
      <c r="H288" t="s">
        <v>89</v>
      </c>
      <c r="I288" t="s">
        <v>35</v>
      </c>
      <c r="J288">
        <v>5</v>
      </c>
      <c r="K288" t="s">
        <v>19</v>
      </c>
      <c r="L288" t="s">
        <v>33</v>
      </c>
      <c r="M288">
        <v>0</v>
      </c>
      <c r="N288">
        <v>11</v>
      </c>
      <c r="O288" t="s">
        <v>2532</v>
      </c>
    </row>
    <row r="289" spans="1:15">
      <c r="A289" t="s">
        <v>1967</v>
      </c>
      <c r="B289" t="s">
        <v>42</v>
      </c>
      <c r="C289">
        <v>25</v>
      </c>
      <c r="D289">
        <v>55.6</v>
      </c>
      <c r="E289">
        <v>1390</v>
      </c>
      <c r="F289" s="12">
        <v>45726</v>
      </c>
      <c r="G289" s="12">
        <v>45728</v>
      </c>
      <c r="H289" t="s">
        <v>23</v>
      </c>
      <c r="I289" t="s">
        <v>18</v>
      </c>
      <c r="J289">
        <v>5</v>
      </c>
      <c r="K289" t="s">
        <v>19</v>
      </c>
      <c r="L289" t="s">
        <v>33</v>
      </c>
      <c r="M289">
        <v>2</v>
      </c>
      <c r="N289">
        <v>11</v>
      </c>
      <c r="O289" t="s">
        <v>2531</v>
      </c>
    </row>
    <row r="290" spans="1:15">
      <c r="A290" t="s">
        <v>1966</v>
      </c>
      <c r="B290" t="s">
        <v>46</v>
      </c>
      <c r="C290">
        <v>1</v>
      </c>
      <c r="D290">
        <v>39.1</v>
      </c>
      <c r="E290">
        <v>39.1</v>
      </c>
      <c r="F290" s="12">
        <v>45726</v>
      </c>
      <c r="G290" s="12">
        <v>45728</v>
      </c>
      <c r="H290" t="s">
        <v>27</v>
      </c>
      <c r="I290" t="s">
        <v>18</v>
      </c>
      <c r="J290">
        <v>4</v>
      </c>
      <c r="K290" t="s">
        <v>19</v>
      </c>
      <c r="L290" t="s">
        <v>33</v>
      </c>
      <c r="M290">
        <v>2</v>
      </c>
      <c r="N290">
        <v>11</v>
      </c>
      <c r="O290" t="s">
        <v>2530</v>
      </c>
    </row>
    <row r="291" spans="1:15">
      <c r="A291" t="s">
        <v>1965</v>
      </c>
      <c r="B291" t="s">
        <v>69</v>
      </c>
      <c r="C291">
        <v>3</v>
      </c>
      <c r="D291">
        <v>38.200000000000003</v>
      </c>
      <c r="E291">
        <v>114.60000000000001</v>
      </c>
      <c r="F291" s="12">
        <v>45726</v>
      </c>
      <c r="G291" s="12">
        <v>45728</v>
      </c>
      <c r="H291" t="s">
        <v>27</v>
      </c>
      <c r="I291" t="s">
        <v>40</v>
      </c>
      <c r="J291">
        <v>2</v>
      </c>
      <c r="K291" t="s">
        <v>19</v>
      </c>
      <c r="L291" t="s">
        <v>33</v>
      </c>
      <c r="M291">
        <v>2</v>
      </c>
      <c r="N291">
        <v>11</v>
      </c>
      <c r="O291" t="s">
        <v>2530</v>
      </c>
    </row>
    <row r="292" spans="1:15">
      <c r="A292" t="s">
        <v>1964</v>
      </c>
      <c r="B292" t="s">
        <v>69</v>
      </c>
      <c r="C292">
        <v>2</v>
      </c>
      <c r="D292">
        <v>47</v>
      </c>
      <c r="E292">
        <v>94</v>
      </c>
      <c r="F292" s="12">
        <v>45726</v>
      </c>
      <c r="G292" s="12">
        <v>45727</v>
      </c>
      <c r="H292" t="s">
        <v>23</v>
      </c>
      <c r="I292" t="s">
        <v>35</v>
      </c>
      <c r="J292">
        <v>5</v>
      </c>
      <c r="K292" t="s">
        <v>19</v>
      </c>
      <c r="L292" t="s">
        <v>33</v>
      </c>
      <c r="M292">
        <v>1</v>
      </c>
      <c r="N292">
        <v>11</v>
      </c>
      <c r="O292" t="s">
        <v>2531</v>
      </c>
    </row>
    <row r="293" spans="1:15">
      <c r="A293" t="s">
        <v>1963</v>
      </c>
      <c r="B293" t="s">
        <v>44</v>
      </c>
      <c r="C293">
        <v>3</v>
      </c>
      <c r="D293">
        <v>20.7</v>
      </c>
      <c r="E293">
        <v>62.099999999999994</v>
      </c>
      <c r="F293" s="12">
        <v>45726</v>
      </c>
      <c r="G293" s="12">
        <v>45728</v>
      </c>
      <c r="H293" t="s">
        <v>89</v>
      </c>
      <c r="I293" t="s">
        <v>18</v>
      </c>
      <c r="J293">
        <v>5</v>
      </c>
      <c r="K293" t="s">
        <v>19</v>
      </c>
      <c r="L293" t="s">
        <v>33</v>
      </c>
      <c r="M293">
        <v>2</v>
      </c>
      <c r="N293">
        <v>11</v>
      </c>
      <c r="O293" t="s">
        <v>2532</v>
      </c>
    </row>
    <row r="294" spans="1:15">
      <c r="A294" t="s">
        <v>1962</v>
      </c>
      <c r="B294" t="s">
        <v>16</v>
      </c>
      <c r="C294">
        <v>2</v>
      </c>
      <c r="D294">
        <v>23.3</v>
      </c>
      <c r="E294">
        <v>46.6</v>
      </c>
      <c r="F294" s="12">
        <v>45726</v>
      </c>
      <c r="G294" s="12">
        <v>45727</v>
      </c>
      <c r="H294" t="s">
        <v>23</v>
      </c>
      <c r="I294" t="s">
        <v>35</v>
      </c>
      <c r="J294">
        <v>5</v>
      </c>
      <c r="K294" t="s">
        <v>19</v>
      </c>
      <c r="L294" t="s">
        <v>33</v>
      </c>
      <c r="M294">
        <v>1</v>
      </c>
      <c r="N294">
        <v>11</v>
      </c>
      <c r="O294" t="s">
        <v>2531</v>
      </c>
    </row>
    <row r="295" spans="1:15">
      <c r="A295" t="s">
        <v>1961</v>
      </c>
      <c r="B295" t="s">
        <v>26</v>
      </c>
      <c r="C295">
        <v>2</v>
      </c>
      <c r="D295">
        <v>133</v>
      </c>
      <c r="E295">
        <v>266</v>
      </c>
      <c r="F295" s="12">
        <v>45726</v>
      </c>
      <c r="G295" s="12">
        <v>45726</v>
      </c>
      <c r="H295" t="s">
        <v>23</v>
      </c>
      <c r="I295" t="s">
        <v>40</v>
      </c>
      <c r="J295">
        <v>5</v>
      </c>
      <c r="K295" t="s">
        <v>19</v>
      </c>
      <c r="L295" t="s">
        <v>33</v>
      </c>
      <c r="M295">
        <v>0</v>
      </c>
      <c r="N295">
        <v>11</v>
      </c>
      <c r="O295" t="s">
        <v>2531</v>
      </c>
    </row>
    <row r="296" spans="1:15">
      <c r="A296" t="s">
        <v>1960</v>
      </c>
      <c r="B296" t="s">
        <v>135</v>
      </c>
      <c r="C296">
        <v>6</v>
      </c>
      <c r="D296">
        <v>22.7</v>
      </c>
      <c r="E296">
        <v>136.19999999999999</v>
      </c>
      <c r="F296" s="12">
        <v>45726</v>
      </c>
      <c r="G296" s="12">
        <v>45729</v>
      </c>
      <c r="H296" t="s">
        <v>27</v>
      </c>
      <c r="I296" t="s">
        <v>40</v>
      </c>
      <c r="J296">
        <v>4</v>
      </c>
      <c r="K296" t="s">
        <v>19</v>
      </c>
      <c r="L296" t="s">
        <v>33</v>
      </c>
      <c r="M296">
        <v>3</v>
      </c>
      <c r="N296">
        <v>11</v>
      </c>
      <c r="O296" t="s">
        <v>2530</v>
      </c>
    </row>
    <row r="297" spans="1:15">
      <c r="A297" t="s">
        <v>1929</v>
      </c>
      <c r="B297" t="s">
        <v>32</v>
      </c>
      <c r="C297">
        <v>1</v>
      </c>
      <c r="D297">
        <v>21.3</v>
      </c>
      <c r="E297">
        <v>21.3</v>
      </c>
      <c r="F297" s="12">
        <v>45725</v>
      </c>
      <c r="G297" s="12">
        <v>45726</v>
      </c>
      <c r="H297" t="s">
        <v>23</v>
      </c>
      <c r="I297" t="s">
        <v>40</v>
      </c>
      <c r="J297">
        <v>3</v>
      </c>
      <c r="K297" t="s">
        <v>19</v>
      </c>
      <c r="L297" t="s">
        <v>33</v>
      </c>
      <c r="M297">
        <v>1</v>
      </c>
      <c r="N297">
        <v>11</v>
      </c>
      <c r="O297" t="s">
        <v>2531</v>
      </c>
    </row>
    <row r="298" spans="1:15">
      <c r="A298" t="s">
        <v>1928</v>
      </c>
      <c r="B298" t="s">
        <v>44</v>
      </c>
      <c r="C298">
        <v>6</v>
      </c>
      <c r="D298">
        <v>34.6</v>
      </c>
      <c r="E298">
        <v>207.60000000000002</v>
      </c>
      <c r="F298" s="12">
        <v>45724</v>
      </c>
      <c r="G298" s="12">
        <v>45725</v>
      </c>
      <c r="H298" t="s">
        <v>17</v>
      </c>
      <c r="I298" t="s">
        <v>18</v>
      </c>
      <c r="J298">
        <v>3</v>
      </c>
      <c r="K298" t="s">
        <v>19</v>
      </c>
      <c r="L298" t="s">
        <v>33</v>
      </c>
      <c r="M298">
        <v>1</v>
      </c>
      <c r="N298">
        <v>10</v>
      </c>
      <c r="O298" t="s">
        <v>2533</v>
      </c>
    </row>
    <row r="299" spans="1:15">
      <c r="A299" t="s">
        <v>1927</v>
      </c>
      <c r="B299" t="s">
        <v>32</v>
      </c>
      <c r="C299">
        <v>4</v>
      </c>
      <c r="D299">
        <v>35.200000000000003</v>
      </c>
      <c r="E299">
        <v>140.80000000000001</v>
      </c>
      <c r="F299" s="12">
        <v>45724</v>
      </c>
      <c r="G299" s="12">
        <v>45725</v>
      </c>
      <c r="H299" t="s">
        <v>27</v>
      </c>
      <c r="I299" t="s">
        <v>40</v>
      </c>
      <c r="J299">
        <v>5</v>
      </c>
      <c r="K299" t="s">
        <v>19</v>
      </c>
      <c r="L299" t="s">
        <v>33</v>
      </c>
      <c r="M299">
        <v>1</v>
      </c>
      <c r="N299">
        <v>10</v>
      </c>
      <c r="O299" t="s">
        <v>2530</v>
      </c>
    </row>
    <row r="300" spans="1:15">
      <c r="A300" t="s">
        <v>1926</v>
      </c>
      <c r="B300" t="s">
        <v>16</v>
      </c>
      <c r="C300">
        <v>1</v>
      </c>
      <c r="D300">
        <v>15.5</v>
      </c>
      <c r="E300">
        <v>15.5</v>
      </c>
      <c r="F300" s="12">
        <v>45724</v>
      </c>
      <c r="G300" s="12">
        <v>45726</v>
      </c>
      <c r="H300" t="s">
        <v>23</v>
      </c>
      <c r="I300" t="s">
        <v>18</v>
      </c>
      <c r="J300">
        <v>4</v>
      </c>
      <c r="K300" t="s">
        <v>19</v>
      </c>
      <c r="L300" t="s">
        <v>33</v>
      </c>
      <c r="M300">
        <v>2</v>
      </c>
      <c r="N300">
        <v>10</v>
      </c>
      <c r="O300" t="s">
        <v>2531</v>
      </c>
    </row>
    <row r="301" spans="1:15">
      <c r="A301" t="s">
        <v>383</v>
      </c>
      <c r="B301" t="s">
        <v>37</v>
      </c>
      <c r="C301">
        <v>8</v>
      </c>
      <c r="D301">
        <v>70.400000000000006</v>
      </c>
      <c r="E301">
        <v>563.20000000000005</v>
      </c>
      <c r="F301" s="12">
        <v>45670</v>
      </c>
      <c r="G301" s="12">
        <v>45671</v>
      </c>
      <c r="H301" t="s">
        <v>23</v>
      </c>
      <c r="I301" t="s">
        <v>35</v>
      </c>
      <c r="J301">
        <v>3</v>
      </c>
      <c r="K301" t="s">
        <v>19</v>
      </c>
      <c r="L301" t="s">
        <v>33</v>
      </c>
      <c r="M301">
        <v>1</v>
      </c>
      <c r="N301">
        <v>3</v>
      </c>
      <c r="O301" t="s">
        <v>2531</v>
      </c>
    </row>
    <row r="302" spans="1:15">
      <c r="A302" t="s">
        <v>384</v>
      </c>
      <c r="B302" t="s">
        <v>16</v>
      </c>
      <c r="C302">
        <v>5</v>
      </c>
      <c r="D302">
        <v>10.7</v>
      </c>
      <c r="E302">
        <v>53.5</v>
      </c>
      <c r="F302" s="12">
        <v>45670</v>
      </c>
      <c r="G302" s="12">
        <v>45674</v>
      </c>
      <c r="H302" t="s">
        <v>27</v>
      </c>
      <c r="I302" t="s">
        <v>40</v>
      </c>
      <c r="J302">
        <v>4</v>
      </c>
      <c r="K302" t="s">
        <v>19</v>
      </c>
      <c r="L302" t="s">
        <v>33</v>
      </c>
      <c r="M302">
        <v>4</v>
      </c>
      <c r="N302">
        <v>3</v>
      </c>
      <c r="O302" t="s">
        <v>2530</v>
      </c>
    </row>
    <row r="303" spans="1:15">
      <c r="A303" t="s">
        <v>385</v>
      </c>
      <c r="B303" t="s">
        <v>44</v>
      </c>
      <c r="C303">
        <v>5</v>
      </c>
      <c r="D303">
        <v>19.600000000000001</v>
      </c>
      <c r="E303">
        <v>98</v>
      </c>
      <c r="F303" s="12">
        <v>45670</v>
      </c>
      <c r="G303" s="12">
        <v>45672</v>
      </c>
      <c r="H303" t="s">
        <v>27</v>
      </c>
      <c r="I303" t="s">
        <v>18</v>
      </c>
      <c r="J303">
        <v>1</v>
      </c>
      <c r="K303" t="s">
        <v>19</v>
      </c>
      <c r="L303" t="s">
        <v>33</v>
      </c>
      <c r="M303">
        <v>2</v>
      </c>
      <c r="N303">
        <v>3</v>
      </c>
      <c r="O303" t="s">
        <v>2530</v>
      </c>
    </row>
    <row r="304" spans="1:15">
      <c r="A304" t="s">
        <v>386</v>
      </c>
      <c r="B304" t="s">
        <v>44</v>
      </c>
      <c r="C304">
        <v>11</v>
      </c>
      <c r="D304">
        <v>34.700000000000003</v>
      </c>
      <c r="E304">
        <v>381.70000000000005</v>
      </c>
      <c r="F304" s="12">
        <v>45670</v>
      </c>
      <c r="G304" s="12">
        <v>45672</v>
      </c>
      <c r="H304" t="s">
        <v>27</v>
      </c>
      <c r="I304" t="s">
        <v>18</v>
      </c>
      <c r="J304">
        <v>5</v>
      </c>
      <c r="K304" t="s">
        <v>19</v>
      </c>
      <c r="L304" t="s">
        <v>33</v>
      </c>
      <c r="M304">
        <v>2</v>
      </c>
      <c r="N304">
        <v>3</v>
      </c>
      <c r="O304" t="s">
        <v>2530</v>
      </c>
    </row>
    <row r="305" spans="1:15">
      <c r="A305" t="s">
        <v>387</v>
      </c>
      <c r="B305" t="s">
        <v>54</v>
      </c>
      <c r="C305">
        <v>9</v>
      </c>
      <c r="D305">
        <v>34.1</v>
      </c>
      <c r="E305">
        <v>306.90000000000003</v>
      </c>
      <c r="F305" s="12">
        <v>45670</v>
      </c>
      <c r="G305" s="12">
        <v>45671</v>
      </c>
      <c r="H305" t="s">
        <v>27</v>
      </c>
      <c r="I305" t="s">
        <v>70</v>
      </c>
      <c r="J305">
        <v>3</v>
      </c>
      <c r="K305" t="s">
        <v>19</v>
      </c>
      <c r="L305" t="s">
        <v>33</v>
      </c>
      <c r="M305">
        <v>1</v>
      </c>
      <c r="N305">
        <v>3</v>
      </c>
      <c r="O305" t="s">
        <v>2530</v>
      </c>
    </row>
    <row r="306" spans="1:15">
      <c r="A306" t="s">
        <v>388</v>
      </c>
      <c r="B306" t="s">
        <v>16</v>
      </c>
      <c r="C306">
        <v>49</v>
      </c>
      <c r="D306">
        <v>29.3</v>
      </c>
      <c r="E306">
        <v>1435.7</v>
      </c>
      <c r="F306" s="12">
        <v>45670</v>
      </c>
      <c r="G306" s="12">
        <v>45670</v>
      </c>
      <c r="H306" t="s">
        <v>23</v>
      </c>
      <c r="I306" t="s">
        <v>18</v>
      </c>
      <c r="J306">
        <v>3</v>
      </c>
      <c r="K306" t="s">
        <v>19</v>
      </c>
      <c r="L306" t="s">
        <v>33</v>
      </c>
      <c r="M306">
        <v>0</v>
      </c>
      <c r="N306">
        <v>3</v>
      </c>
      <c r="O306" t="s">
        <v>2531</v>
      </c>
    </row>
    <row r="307" spans="1:15">
      <c r="A307" t="s">
        <v>389</v>
      </c>
      <c r="B307" t="s">
        <v>22</v>
      </c>
      <c r="C307">
        <v>1</v>
      </c>
      <c r="D307">
        <v>55.2</v>
      </c>
      <c r="E307">
        <v>55.2</v>
      </c>
      <c r="F307" s="12">
        <v>45670</v>
      </c>
      <c r="G307" s="12">
        <v>45671</v>
      </c>
      <c r="H307" t="s">
        <v>27</v>
      </c>
      <c r="I307" t="s">
        <v>18</v>
      </c>
      <c r="J307">
        <v>3</v>
      </c>
      <c r="K307" t="s">
        <v>19</v>
      </c>
      <c r="L307" t="s">
        <v>33</v>
      </c>
      <c r="M307">
        <v>1</v>
      </c>
      <c r="N307">
        <v>3</v>
      </c>
      <c r="O307" t="s">
        <v>2530</v>
      </c>
    </row>
    <row r="308" spans="1:15">
      <c r="A308" t="s">
        <v>390</v>
      </c>
      <c r="B308" t="s">
        <v>146</v>
      </c>
      <c r="C308">
        <v>3</v>
      </c>
      <c r="D308">
        <v>26</v>
      </c>
      <c r="E308">
        <v>78</v>
      </c>
      <c r="F308" s="12">
        <v>45670</v>
      </c>
      <c r="G308" s="12">
        <v>45673</v>
      </c>
      <c r="H308" t="s">
        <v>27</v>
      </c>
      <c r="I308" t="s">
        <v>18</v>
      </c>
      <c r="J308">
        <v>5</v>
      </c>
      <c r="K308" t="s">
        <v>19</v>
      </c>
      <c r="L308" t="s">
        <v>33</v>
      </c>
      <c r="M308">
        <v>3</v>
      </c>
      <c r="N308">
        <v>3</v>
      </c>
      <c r="O308" t="s">
        <v>2530</v>
      </c>
    </row>
    <row r="309" spans="1:15">
      <c r="A309" t="s">
        <v>1925</v>
      </c>
      <c r="B309" t="s">
        <v>69</v>
      </c>
      <c r="C309">
        <v>3</v>
      </c>
      <c r="D309">
        <v>69.5</v>
      </c>
      <c r="E309">
        <v>208.5</v>
      </c>
      <c r="F309" s="12">
        <v>45724</v>
      </c>
      <c r="G309" s="12">
        <v>45725</v>
      </c>
      <c r="H309" t="s">
        <v>89</v>
      </c>
      <c r="I309" t="s">
        <v>70</v>
      </c>
      <c r="J309">
        <v>4</v>
      </c>
      <c r="K309" t="s">
        <v>19</v>
      </c>
      <c r="L309" t="s">
        <v>33</v>
      </c>
      <c r="M309">
        <v>1</v>
      </c>
      <c r="N309">
        <v>10</v>
      </c>
      <c r="O309" t="s">
        <v>2532</v>
      </c>
    </row>
    <row r="310" spans="1:15">
      <c r="A310" t="s">
        <v>1924</v>
      </c>
      <c r="B310" t="s">
        <v>171</v>
      </c>
      <c r="C310">
        <v>12</v>
      </c>
      <c r="D310">
        <v>52.4</v>
      </c>
      <c r="E310">
        <v>628.79999999999995</v>
      </c>
      <c r="F310" s="12">
        <v>45724</v>
      </c>
      <c r="G310" s="12">
        <v>45724</v>
      </c>
      <c r="H310" t="s">
        <v>23</v>
      </c>
      <c r="I310" t="s">
        <v>40</v>
      </c>
      <c r="J310">
        <v>4</v>
      </c>
      <c r="K310" t="s">
        <v>19</v>
      </c>
      <c r="L310" t="s">
        <v>33</v>
      </c>
      <c r="M310">
        <v>0</v>
      </c>
      <c r="N310">
        <v>10</v>
      </c>
      <c r="O310" t="s">
        <v>2531</v>
      </c>
    </row>
    <row r="311" spans="1:15">
      <c r="A311" t="s">
        <v>1923</v>
      </c>
      <c r="B311" t="s">
        <v>39</v>
      </c>
      <c r="C311">
        <v>87</v>
      </c>
      <c r="D311">
        <v>83.5</v>
      </c>
      <c r="E311">
        <v>7264.5</v>
      </c>
      <c r="F311" s="12">
        <v>45724</v>
      </c>
      <c r="G311" s="12">
        <v>45726</v>
      </c>
      <c r="H311" t="s">
        <v>17</v>
      </c>
      <c r="I311" t="s">
        <v>51</v>
      </c>
      <c r="J311">
        <v>4</v>
      </c>
      <c r="K311" t="s">
        <v>19</v>
      </c>
      <c r="L311" t="s">
        <v>33</v>
      </c>
      <c r="M311">
        <v>2</v>
      </c>
      <c r="N311">
        <v>10</v>
      </c>
      <c r="O311" t="s">
        <v>2533</v>
      </c>
    </row>
    <row r="312" spans="1:15">
      <c r="A312" t="s">
        <v>1922</v>
      </c>
      <c r="B312" t="s">
        <v>22</v>
      </c>
      <c r="C312">
        <v>4</v>
      </c>
      <c r="D312">
        <v>36.200000000000003</v>
      </c>
      <c r="E312">
        <v>144.80000000000001</v>
      </c>
      <c r="F312" s="12">
        <v>45724</v>
      </c>
      <c r="G312" s="12">
        <v>45725</v>
      </c>
      <c r="H312" t="s">
        <v>27</v>
      </c>
      <c r="I312" t="s">
        <v>35</v>
      </c>
      <c r="J312">
        <v>4</v>
      </c>
      <c r="K312" t="s">
        <v>19</v>
      </c>
      <c r="L312" t="s">
        <v>33</v>
      </c>
      <c r="M312">
        <v>1</v>
      </c>
      <c r="N312">
        <v>10</v>
      </c>
      <c r="O312" t="s">
        <v>2530</v>
      </c>
    </row>
    <row r="313" spans="1:15">
      <c r="A313" t="s">
        <v>1921</v>
      </c>
      <c r="B313" t="s">
        <v>39</v>
      </c>
      <c r="C313">
        <v>4</v>
      </c>
      <c r="D313">
        <v>75.900000000000006</v>
      </c>
      <c r="E313">
        <v>303.60000000000002</v>
      </c>
      <c r="F313" s="12">
        <v>45724</v>
      </c>
      <c r="G313" s="12">
        <v>45726</v>
      </c>
      <c r="H313" t="s">
        <v>27</v>
      </c>
      <c r="I313" t="s">
        <v>35</v>
      </c>
      <c r="J313">
        <v>4</v>
      </c>
      <c r="K313" t="s">
        <v>19</v>
      </c>
      <c r="L313" t="s">
        <v>33</v>
      </c>
      <c r="M313">
        <v>2</v>
      </c>
      <c r="N313">
        <v>10</v>
      </c>
      <c r="O313" t="s">
        <v>2530</v>
      </c>
    </row>
    <row r="314" spans="1:15">
      <c r="A314" t="s">
        <v>1920</v>
      </c>
      <c r="B314" t="s">
        <v>22</v>
      </c>
      <c r="C314">
        <v>1</v>
      </c>
      <c r="D314">
        <v>92</v>
      </c>
      <c r="E314">
        <v>92</v>
      </c>
      <c r="F314" s="12">
        <v>45724</v>
      </c>
      <c r="G314" s="12">
        <v>45728</v>
      </c>
      <c r="H314" t="s">
        <v>17</v>
      </c>
      <c r="I314" t="s">
        <v>40</v>
      </c>
      <c r="J314">
        <v>4</v>
      </c>
      <c r="K314" t="s">
        <v>19</v>
      </c>
      <c r="L314" t="s">
        <v>33</v>
      </c>
      <c r="M314">
        <v>4</v>
      </c>
      <c r="N314">
        <v>10</v>
      </c>
      <c r="O314" t="s">
        <v>2533</v>
      </c>
    </row>
    <row r="315" spans="1:15">
      <c r="A315" t="s">
        <v>1919</v>
      </c>
      <c r="B315" t="s">
        <v>42</v>
      </c>
      <c r="C315">
        <v>2</v>
      </c>
      <c r="D315">
        <v>102.4</v>
      </c>
      <c r="E315">
        <v>204.8</v>
      </c>
      <c r="F315" s="12">
        <v>45724</v>
      </c>
      <c r="G315" s="12">
        <v>45724</v>
      </c>
      <c r="H315" t="s">
        <v>27</v>
      </c>
      <c r="I315" t="s">
        <v>35</v>
      </c>
      <c r="J315">
        <v>4</v>
      </c>
      <c r="K315" t="s">
        <v>19</v>
      </c>
      <c r="L315" t="s">
        <v>33</v>
      </c>
      <c r="M315">
        <v>0</v>
      </c>
      <c r="N315">
        <v>10</v>
      </c>
      <c r="O315" t="s">
        <v>2530</v>
      </c>
    </row>
    <row r="316" spans="1:15">
      <c r="A316" t="s">
        <v>1893</v>
      </c>
      <c r="B316" t="s">
        <v>128</v>
      </c>
      <c r="C316">
        <v>3</v>
      </c>
      <c r="D316">
        <v>48</v>
      </c>
      <c r="E316">
        <v>144</v>
      </c>
      <c r="F316" s="12">
        <v>45723</v>
      </c>
      <c r="G316" s="12">
        <v>45728</v>
      </c>
      <c r="H316" t="s">
        <v>27</v>
      </c>
      <c r="I316" t="s">
        <v>70</v>
      </c>
      <c r="J316">
        <v>4</v>
      </c>
      <c r="K316" t="s">
        <v>19</v>
      </c>
      <c r="L316" t="s">
        <v>33</v>
      </c>
      <c r="M316">
        <v>5</v>
      </c>
      <c r="N316">
        <v>10</v>
      </c>
      <c r="O316" t="s">
        <v>2530</v>
      </c>
    </row>
    <row r="317" spans="1:15">
      <c r="A317" t="s">
        <v>1892</v>
      </c>
      <c r="B317" t="s">
        <v>16</v>
      </c>
      <c r="C317">
        <v>4</v>
      </c>
      <c r="D317">
        <v>10.9</v>
      </c>
      <c r="E317">
        <v>43.6</v>
      </c>
      <c r="F317" s="12">
        <v>45723</v>
      </c>
      <c r="G317" s="12">
        <v>45724</v>
      </c>
      <c r="H317" t="s">
        <v>23</v>
      </c>
      <c r="I317" t="s">
        <v>40</v>
      </c>
      <c r="J317">
        <v>4</v>
      </c>
      <c r="K317" t="s">
        <v>19</v>
      </c>
      <c r="L317" t="s">
        <v>33</v>
      </c>
      <c r="M317">
        <v>1</v>
      </c>
      <c r="N317">
        <v>10</v>
      </c>
      <c r="O317" t="s">
        <v>2531</v>
      </c>
    </row>
    <row r="318" spans="1:15">
      <c r="A318" t="s">
        <v>1891</v>
      </c>
      <c r="B318" t="s">
        <v>44</v>
      </c>
      <c r="C318">
        <v>5</v>
      </c>
      <c r="D318">
        <v>27</v>
      </c>
      <c r="E318">
        <v>135</v>
      </c>
      <c r="F318" s="12">
        <v>45723</v>
      </c>
      <c r="G318" s="12">
        <v>45726</v>
      </c>
      <c r="H318" t="s">
        <v>23</v>
      </c>
      <c r="I318" t="s">
        <v>18</v>
      </c>
      <c r="J318">
        <v>3</v>
      </c>
      <c r="K318" t="s">
        <v>19</v>
      </c>
      <c r="L318" t="s">
        <v>33</v>
      </c>
      <c r="M318">
        <v>3</v>
      </c>
      <c r="N318">
        <v>10</v>
      </c>
      <c r="O318" t="s">
        <v>2531</v>
      </c>
    </row>
    <row r="319" spans="1:15">
      <c r="A319" t="s">
        <v>1890</v>
      </c>
      <c r="B319" t="s">
        <v>22</v>
      </c>
      <c r="C319">
        <v>3</v>
      </c>
      <c r="D319">
        <v>93.4</v>
      </c>
      <c r="E319">
        <v>280.20000000000005</v>
      </c>
      <c r="F319" s="12">
        <v>45723</v>
      </c>
      <c r="G319" s="12">
        <v>45727</v>
      </c>
      <c r="H319" t="s">
        <v>27</v>
      </c>
      <c r="I319" t="s">
        <v>51</v>
      </c>
      <c r="J319">
        <v>4</v>
      </c>
      <c r="K319" t="s">
        <v>19</v>
      </c>
      <c r="L319" t="s">
        <v>33</v>
      </c>
      <c r="M319">
        <v>4</v>
      </c>
      <c r="N319">
        <v>10</v>
      </c>
      <c r="O319" t="s">
        <v>2530</v>
      </c>
    </row>
    <row r="320" spans="1:15">
      <c r="A320" t="s">
        <v>1889</v>
      </c>
      <c r="B320" t="s">
        <v>39</v>
      </c>
      <c r="C320">
        <v>10</v>
      </c>
      <c r="D320">
        <v>84.7</v>
      </c>
      <c r="E320">
        <v>847</v>
      </c>
      <c r="F320" s="12">
        <v>45723</v>
      </c>
      <c r="G320" s="12">
        <v>45727</v>
      </c>
      <c r="H320" t="s">
        <v>27</v>
      </c>
      <c r="I320" t="s">
        <v>18</v>
      </c>
      <c r="J320">
        <v>4</v>
      </c>
      <c r="K320" t="s">
        <v>19</v>
      </c>
      <c r="L320" t="s">
        <v>33</v>
      </c>
      <c r="M320">
        <v>4</v>
      </c>
      <c r="N320">
        <v>10</v>
      </c>
      <c r="O320" t="s">
        <v>2530</v>
      </c>
    </row>
    <row r="321" spans="1:15">
      <c r="A321" t="s">
        <v>1888</v>
      </c>
      <c r="B321" t="s">
        <v>46</v>
      </c>
      <c r="C321">
        <v>1</v>
      </c>
      <c r="D321">
        <v>54.7</v>
      </c>
      <c r="E321">
        <v>54.7</v>
      </c>
      <c r="F321" s="12">
        <v>45723</v>
      </c>
      <c r="G321" s="12">
        <v>45724</v>
      </c>
      <c r="H321" t="s">
        <v>23</v>
      </c>
      <c r="I321" t="s">
        <v>18</v>
      </c>
      <c r="J321">
        <v>3</v>
      </c>
      <c r="K321" t="s">
        <v>19</v>
      </c>
      <c r="L321" t="s">
        <v>33</v>
      </c>
      <c r="M321">
        <v>1</v>
      </c>
      <c r="N321">
        <v>10</v>
      </c>
      <c r="O321" t="s">
        <v>2531</v>
      </c>
    </row>
    <row r="322" spans="1:15">
      <c r="A322" t="s">
        <v>405</v>
      </c>
      <c r="B322" t="s">
        <v>37</v>
      </c>
      <c r="C322">
        <v>1</v>
      </c>
      <c r="D322">
        <v>65.2</v>
      </c>
      <c r="E322">
        <v>65.2</v>
      </c>
      <c r="F322" s="12">
        <v>45671</v>
      </c>
      <c r="G322" s="12">
        <v>45673</v>
      </c>
      <c r="H322" t="s">
        <v>89</v>
      </c>
      <c r="I322" t="s">
        <v>70</v>
      </c>
      <c r="J322">
        <v>2</v>
      </c>
      <c r="K322" t="s">
        <v>19</v>
      </c>
      <c r="L322" t="s">
        <v>33</v>
      </c>
      <c r="M322">
        <v>2</v>
      </c>
      <c r="N322">
        <v>3</v>
      </c>
      <c r="O322" t="s">
        <v>2532</v>
      </c>
    </row>
    <row r="323" spans="1:15">
      <c r="A323" t="s">
        <v>406</v>
      </c>
      <c r="B323" t="s">
        <v>44</v>
      </c>
      <c r="C323">
        <v>17</v>
      </c>
      <c r="D323">
        <v>32.700000000000003</v>
      </c>
      <c r="E323">
        <v>555.90000000000009</v>
      </c>
      <c r="F323" s="12">
        <v>45671</v>
      </c>
      <c r="G323" s="12">
        <v>45678</v>
      </c>
      <c r="H323" t="s">
        <v>17</v>
      </c>
      <c r="I323" t="s">
        <v>70</v>
      </c>
      <c r="J323">
        <v>4</v>
      </c>
      <c r="K323" t="s">
        <v>19</v>
      </c>
      <c r="L323" t="s">
        <v>33</v>
      </c>
      <c r="M323">
        <v>7</v>
      </c>
      <c r="N323">
        <v>3</v>
      </c>
      <c r="O323" t="s">
        <v>2533</v>
      </c>
    </row>
    <row r="324" spans="1:15">
      <c r="A324" t="s">
        <v>407</v>
      </c>
      <c r="B324" t="s">
        <v>54</v>
      </c>
      <c r="C324">
        <v>7</v>
      </c>
      <c r="D324">
        <v>24.4</v>
      </c>
      <c r="E324">
        <v>170.79999999999998</v>
      </c>
      <c r="F324" s="12">
        <v>45671</v>
      </c>
      <c r="G324" s="12">
        <v>45672</v>
      </c>
      <c r="H324" t="s">
        <v>27</v>
      </c>
      <c r="I324" t="s">
        <v>18</v>
      </c>
      <c r="J324">
        <v>4</v>
      </c>
      <c r="K324" t="s">
        <v>19</v>
      </c>
      <c r="L324" t="s">
        <v>33</v>
      </c>
      <c r="M324">
        <v>1</v>
      </c>
      <c r="N324">
        <v>3</v>
      </c>
      <c r="O324" t="s">
        <v>2530</v>
      </c>
    </row>
    <row r="325" spans="1:15">
      <c r="A325" t="s">
        <v>408</v>
      </c>
      <c r="B325" t="s">
        <v>81</v>
      </c>
      <c r="C325">
        <v>2</v>
      </c>
      <c r="D325">
        <v>50.4</v>
      </c>
      <c r="E325">
        <v>100.8</v>
      </c>
      <c r="F325" s="12">
        <v>45671</v>
      </c>
      <c r="G325" s="12">
        <v>45677</v>
      </c>
      <c r="H325" t="s">
        <v>23</v>
      </c>
      <c r="I325" t="s">
        <v>18</v>
      </c>
      <c r="J325">
        <v>3</v>
      </c>
      <c r="K325" t="s">
        <v>19</v>
      </c>
      <c r="L325" t="s">
        <v>33</v>
      </c>
      <c r="M325">
        <v>6</v>
      </c>
      <c r="N325">
        <v>3</v>
      </c>
      <c r="O325" t="s">
        <v>2531</v>
      </c>
    </row>
    <row r="326" spans="1:15">
      <c r="A326" t="s">
        <v>409</v>
      </c>
      <c r="B326" t="s">
        <v>22</v>
      </c>
      <c r="C326">
        <v>2</v>
      </c>
      <c r="D326">
        <v>100</v>
      </c>
      <c r="E326">
        <v>200</v>
      </c>
      <c r="F326" s="12">
        <v>45671</v>
      </c>
      <c r="G326" s="12">
        <v>45672</v>
      </c>
      <c r="H326" t="s">
        <v>27</v>
      </c>
      <c r="I326" t="s">
        <v>18</v>
      </c>
      <c r="J326">
        <v>4</v>
      </c>
      <c r="K326" t="s">
        <v>19</v>
      </c>
      <c r="L326" t="s">
        <v>33</v>
      </c>
      <c r="M326">
        <v>1</v>
      </c>
      <c r="N326">
        <v>3</v>
      </c>
      <c r="O326" t="s">
        <v>2530</v>
      </c>
    </row>
    <row r="327" spans="1:15">
      <c r="A327" t="s">
        <v>410</v>
      </c>
      <c r="B327" t="s">
        <v>54</v>
      </c>
      <c r="C327">
        <v>3</v>
      </c>
      <c r="D327">
        <v>43</v>
      </c>
      <c r="E327">
        <v>129</v>
      </c>
      <c r="F327" s="12">
        <v>45672</v>
      </c>
      <c r="G327" s="12">
        <v>45672</v>
      </c>
      <c r="H327" t="s">
        <v>27</v>
      </c>
      <c r="I327" t="s">
        <v>40</v>
      </c>
      <c r="J327">
        <v>3</v>
      </c>
      <c r="K327" t="s">
        <v>19</v>
      </c>
      <c r="L327" t="s">
        <v>33</v>
      </c>
      <c r="M327">
        <v>0</v>
      </c>
      <c r="N327">
        <v>3</v>
      </c>
      <c r="O327" t="s">
        <v>2530</v>
      </c>
    </row>
    <row r="328" spans="1:15">
      <c r="A328" t="s">
        <v>411</v>
      </c>
      <c r="B328" t="s">
        <v>22</v>
      </c>
      <c r="C328">
        <v>5</v>
      </c>
      <c r="D328">
        <v>64.400000000000006</v>
      </c>
      <c r="E328">
        <v>322</v>
      </c>
      <c r="F328" s="12">
        <v>45672</v>
      </c>
      <c r="G328" s="12">
        <v>45674</v>
      </c>
      <c r="H328" t="s">
        <v>23</v>
      </c>
      <c r="I328" t="s">
        <v>40</v>
      </c>
      <c r="J328">
        <v>3</v>
      </c>
      <c r="K328" t="s">
        <v>19</v>
      </c>
      <c r="L328" t="s">
        <v>33</v>
      </c>
      <c r="M328">
        <v>2</v>
      </c>
      <c r="N328">
        <v>3</v>
      </c>
      <c r="O328" t="s">
        <v>2531</v>
      </c>
    </row>
    <row r="329" spans="1:15">
      <c r="A329" t="s">
        <v>412</v>
      </c>
      <c r="B329" t="s">
        <v>146</v>
      </c>
      <c r="C329">
        <v>2</v>
      </c>
      <c r="D329">
        <v>57.4</v>
      </c>
      <c r="E329">
        <v>114.8</v>
      </c>
      <c r="F329" s="12">
        <v>45672</v>
      </c>
      <c r="G329" s="12">
        <v>45673</v>
      </c>
      <c r="H329" t="s">
        <v>23</v>
      </c>
      <c r="I329" t="s">
        <v>40</v>
      </c>
      <c r="J329">
        <v>3</v>
      </c>
      <c r="K329" t="s">
        <v>19</v>
      </c>
      <c r="L329" t="s">
        <v>33</v>
      </c>
      <c r="M329">
        <v>1</v>
      </c>
      <c r="N329">
        <v>3</v>
      </c>
      <c r="O329" t="s">
        <v>2531</v>
      </c>
    </row>
    <row r="330" spans="1:15">
      <c r="A330" t="s">
        <v>413</v>
      </c>
      <c r="B330" t="s">
        <v>26</v>
      </c>
      <c r="C330">
        <v>3</v>
      </c>
      <c r="D330">
        <v>55.1</v>
      </c>
      <c r="E330">
        <v>165.3</v>
      </c>
      <c r="F330" s="12">
        <v>45672</v>
      </c>
      <c r="G330" s="12">
        <v>45675</v>
      </c>
      <c r="H330" t="s">
        <v>27</v>
      </c>
      <c r="I330" t="s">
        <v>35</v>
      </c>
      <c r="J330">
        <v>4</v>
      </c>
      <c r="K330" t="s">
        <v>19</v>
      </c>
      <c r="L330" t="s">
        <v>33</v>
      </c>
      <c r="M330">
        <v>3</v>
      </c>
      <c r="N330">
        <v>3</v>
      </c>
      <c r="O330" t="s">
        <v>2530</v>
      </c>
    </row>
    <row r="331" spans="1:15">
      <c r="A331" t="s">
        <v>414</v>
      </c>
      <c r="B331" t="s">
        <v>42</v>
      </c>
      <c r="C331">
        <v>4</v>
      </c>
      <c r="D331">
        <v>45.4</v>
      </c>
      <c r="E331">
        <v>181.6</v>
      </c>
      <c r="F331" s="12">
        <v>45672</v>
      </c>
      <c r="G331" s="12">
        <v>45673</v>
      </c>
      <c r="H331" t="s">
        <v>27</v>
      </c>
      <c r="I331" t="s">
        <v>35</v>
      </c>
      <c r="J331">
        <v>4</v>
      </c>
      <c r="K331" t="s">
        <v>19</v>
      </c>
      <c r="L331" t="s">
        <v>33</v>
      </c>
      <c r="M331">
        <v>1</v>
      </c>
      <c r="N331">
        <v>3</v>
      </c>
      <c r="O331" t="s">
        <v>2530</v>
      </c>
    </row>
    <row r="332" spans="1:15">
      <c r="A332" t="s">
        <v>1887</v>
      </c>
      <c r="B332" t="s">
        <v>42</v>
      </c>
      <c r="C332">
        <v>7</v>
      </c>
      <c r="D332">
        <v>61.3</v>
      </c>
      <c r="E332">
        <v>429.09999999999997</v>
      </c>
      <c r="F332" s="12">
        <v>45722</v>
      </c>
      <c r="G332" s="12">
        <v>45722</v>
      </c>
      <c r="H332" t="s">
        <v>27</v>
      </c>
      <c r="I332" t="s">
        <v>70</v>
      </c>
      <c r="J332">
        <v>5</v>
      </c>
      <c r="K332" t="s">
        <v>19</v>
      </c>
      <c r="L332" t="s">
        <v>33</v>
      </c>
      <c r="M332">
        <v>0</v>
      </c>
      <c r="N332">
        <v>10</v>
      </c>
      <c r="O332" t="s">
        <v>2530</v>
      </c>
    </row>
    <row r="333" spans="1:15">
      <c r="A333" t="s">
        <v>1886</v>
      </c>
      <c r="B333" t="s">
        <v>16</v>
      </c>
      <c r="C333">
        <v>7</v>
      </c>
      <c r="D333">
        <v>34</v>
      </c>
      <c r="E333">
        <v>238</v>
      </c>
      <c r="F333" s="12">
        <v>45722</v>
      </c>
      <c r="G333" s="12">
        <v>45724</v>
      </c>
      <c r="H333" t="s">
        <v>27</v>
      </c>
      <c r="I333" t="s">
        <v>35</v>
      </c>
      <c r="J333">
        <v>5</v>
      </c>
      <c r="K333" t="s">
        <v>19</v>
      </c>
      <c r="L333" t="s">
        <v>33</v>
      </c>
      <c r="M333">
        <v>2</v>
      </c>
      <c r="N333">
        <v>10</v>
      </c>
      <c r="O333" t="s">
        <v>2530</v>
      </c>
    </row>
    <row r="334" spans="1:15">
      <c r="A334" t="s">
        <v>1885</v>
      </c>
      <c r="B334" t="s">
        <v>39</v>
      </c>
      <c r="C334">
        <v>2</v>
      </c>
      <c r="D334">
        <v>41.9</v>
      </c>
      <c r="E334">
        <v>83.8</v>
      </c>
      <c r="F334" s="12">
        <v>45722</v>
      </c>
      <c r="G334" s="12">
        <v>45724</v>
      </c>
      <c r="H334" t="s">
        <v>27</v>
      </c>
      <c r="I334" t="s">
        <v>18</v>
      </c>
      <c r="J334">
        <v>4</v>
      </c>
      <c r="K334" t="s">
        <v>19</v>
      </c>
      <c r="L334" t="s">
        <v>33</v>
      </c>
      <c r="M334">
        <v>2</v>
      </c>
      <c r="N334">
        <v>10</v>
      </c>
      <c r="O334" t="s">
        <v>2530</v>
      </c>
    </row>
    <row r="335" spans="1:15">
      <c r="A335" t="s">
        <v>1884</v>
      </c>
      <c r="B335" t="s">
        <v>37</v>
      </c>
      <c r="C335">
        <v>3</v>
      </c>
      <c r="D335">
        <v>76.8</v>
      </c>
      <c r="E335">
        <v>230.39999999999998</v>
      </c>
      <c r="F335" s="12">
        <v>45722</v>
      </c>
      <c r="G335" s="12">
        <v>45723</v>
      </c>
      <c r="H335" t="s">
        <v>27</v>
      </c>
      <c r="I335" t="s">
        <v>18</v>
      </c>
      <c r="J335">
        <v>3</v>
      </c>
      <c r="K335" t="s">
        <v>19</v>
      </c>
      <c r="L335" t="s">
        <v>33</v>
      </c>
      <c r="M335">
        <v>1</v>
      </c>
      <c r="N335">
        <v>10</v>
      </c>
      <c r="O335" t="s">
        <v>2530</v>
      </c>
    </row>
    <row r="336" spans="1:15">
      <c r="A336" t="s">
        <v>1867</v>
      </c>
      <c r="B336" t="s">
        <v>16</v>
      </c>
      <c r="C336">
        <v>4</v>
      </c>
      <c r="D336">
        <v>32.1</v>
      </c>
      <c r="E336">
        <v>128.4</v>
      </c>
      <c r="F336" s="12">
        <v>45722</v>
      </c>
      <c r="G336" s="12">
        <v>45723</v>
      </c>
      <c r="H336" t="s">
        <v>23</v>
      </c>
      <c r="I336" t="s">
        <v>70</v>
      </c>
      <c r="J336">
        <v>3</v>
      </c>
      <c r="K336" t="s">
        <v>19</v>
      </c>
      <c r="L336" t="s">
        <v>33</v>
      </c>
      <c r="M336">
        <v>1</v>
      </c>
      <c r="N336">
        <v>10</v>
      </c>
      <c r="O336" t="s">
        <v>2531</v>
      </c>
    </row>
    <row r="337" spans="1:15">
      <c r="A337" t="s">
        <v>1866</v>
      </c>
      <c r="B337" t="s">
        <v>16</v>
      </c>
      <c r="C337">
        <v>10</v>
      </c>
      <c r="D337">
        <v>13.7</v>
      </c>
      <c r="E337">
        <v>137</v>
      </c>
      <c r="F337" s="12">
        <v>45722</v>
      </c>
      <c r="G337" s="12">
        <v>45723</v>
      </c>
      <c r="H337" t="s">
        <v>23</v>
      </c>
      <c r="I337" t="s">
        <v>18</v>
      </c>
      <c r="J337">
        <v>5</v>
      </c>
      <c r="K337" t="s">
        <v>19</v>
      </c>
      <c r="L337" t="s">
        <v>33</v>
      </c>
      <c r="M337">
        <v>1</v>
      </c>
      <c r="N337">
        <v>10</v>
      </c>
      <c r="O337" t="s">
        <v>2531</v>
      </c>
    </row>
    <row r="338" spans="1:15">
      <c r="A338" t="s">
        <v>1848</v>
      </c>
      <c r="B338" t="s">
        <v>32</v>
      </c>
      <c r="C338">
        <v>8</v>
      </c>
      <c r="D338">
        <v>43.1</v>
      </c>
      <c r="E338">
        <v>344.8</v>
      </c>
      <c r="F338" s="12">
        <v>45721</v>
      </c>
      <c r="G338" s="12">
        <v>45725</v>
      </c>
      <c r="H338" t="s">
        <v>27</v>
      </c>
      <c r="I338" t="s">
        <v>70</v>
      </c>
      <c r="J338">
        <v>4</v>
      </c>
      <c r="K338" t="s">
        <v>19</v>
      </c>
      <c r="L338" t="s">
        <v>33</v>
      </c>
      <c r="M338">
        <v>4</v>
      </c>
      <c r="N338">
        <v>10</v>
      </c>
      <c r="O338" t="s">
        <v>2530</v>
      </c>
    </row>
    <row r="339" spans="1:15">
      <c r="A339" t="s">
        <v>1847</v>
      </c>
      <c r="B339" t="s">
        <v>37</v>
      </c>
      <c r="C339">
        <v>6</v>
      </c>
      <c r="D339">
        <v>56.4</v>
      </c>
      <c r="E339">
        <v>338.4</v>
      </c>
      <c r="F339" s="12">
        <v>45721</v>
      </c>
      <c r="G339" s="12">
        <v>45722</v>
      </c>
      <c r="H339" t="s">
        <v>27</v>
      </c>
      <c r="I339" t="s">
        <v>35</v>
      </c>
      <c r="J339">
        <v>4</v>
      </c>
      <c r="K339" t="s">
        <v>19</v>
      </c>
      <c r="L339" t="s">
        <v>33</v>
      </c>
      <c r="M339">
        <v>1</v>
      </c>
      <c r="N339">
        <v>10</v>
      </c>
      <c r="O339" t="s">
        <v>2530</v>
      </c>
    </row>
    <row r="340" spans="1:15">
      <c r="A340" t="s">
        <v>1846</v>
      </c>
      <c r="B340" t="s">
        <v>30</v>
      </c>
      <c r="C340">
        <v>6</v>
      </c>
      <c r="D340">
        <v>55.6</v>
      </c>
      <c r="E340">
        <v>333.6</v>
      </c>
      <c r="F340" s="12">
        <v>45721</v>
      </c>
      <c r="G340" s="12">
        <v>45725</v>
      </c>
      <c r="H340" t="s">
        <v>27</v>
      </c>
      <c r="I340" t="s">
        <v>18</v>
      </c>
      <c r="J340">
        <v>5</v>
      </c>
      <c r="K340" t="s">
        <v>19</v>
      </c>
      <c r="L340" t="s">
        <v>33</v>
      </c>
      <c r="M340">
        <v>4</v>
      </c>
      <c r="N340">
        <v>10</v>
      </c>
      <c r="O340" t="s">
        <v>2530</v>
      </c>
    </row>
    <row r="341" spans="1:15">
      <c r="A341" t="s">
        <v>1845</v>
      </c>
      <c r="B341" t="s">
        <v>44</v>
      </c>
      <c r="C341">
        <v>2</v>
      </c>
      <c r="D341">
        <v>19.2</v>
      </c>
      <c r="E341">
        <v>38.4</v>
      </c>
      <c r="F341" s="12">
        <v>45721</v>
      </c>
      <c r="G341" s="12">
        <v>45731</v>
      </c>
      <c r="H341" t="s">
        <v>23</v>
      </c>
      <c r="I341" t="s">
        <v>18</v>
      </c>
      <c r="J341">
        <v>4</v>
      </c>
      <c r="K341" t="s">
        <v>19</v>
      </c>
      <c r="L341" t="s">
        <v>33</v>
      </c>
      <c r="M341">
        <v>10</v>
      </c>
      <c r="N341">
        <v>10</v>
      </c>
      <c r="O341" t="s">
        <v>2531</v>
      </c>
    </row>
    <row r="342" spans="1:15">
      <c r="A342" t="s">
        <v>1844</v>
      </c>
      <c r="B342" t="s">
        <v>67</v>
      </c>
      <c r="C342">
        <v>3</v>
      </c>
      <c r="D342">
        <v>98.6</v>
      </c>
      <c r="E342">
        <v>295.79999999999995</v>
      </c>
      <c r="F342" s="12">
        <v>45721</v>
      </c>
      <c r="G342" s="12">
        <v>45724</v>
      </c>
      <c r="H342" t="s">
        <v>89</v>
      </c>
      <c r="I342" t="s">
        <v>18</v>
      </c>
      <c r="J342">
        <v>2</v>
      </c>
      <c r="K342" t="s">
        <v>19</v>
      </c>
      <c r="L342" t="s">
        <v>33</v>
      </c>
      <c r="M342">
        <v>3</v>
      </c>
      <c r="N342">
        <v>10</v>
      </c>
      <c r="O342" t="s">
        <v>2532</v>
      </c>
    </row>
    <row r="343" spans="1:15">
      <c r="A343" t="s">
        <v>1843</v>
      </c>
      <c r="B343" t="s">
        <v>146</v>
      </c>
      <c r="C343">
        <v>14</v>
      </c>
      <c r="D343">
        <v>36.5</v>
      </c>
      <c r="E343">
        <v>511</v>
      </c>
      <c r="F343" s="12">
        <v>45721</v>
      </c>
      <c r="G343" s="12">
        <v>45722</v>
      </c>
      <c r="H343" t="s">
        <v>23</v>
      </c>
      <c r="I343" t="s">
        <v>18</v>
      </c>
      <c r="J343">
        <v>5</v>
      </c>
      <c r="K343" t="s">
        <v>19</v>
      </c>
      <c r="L343" t="s">
        <v>33</v>
      </c>
      <c r="M343">
        <v>1</v>
      </c>
      <c r="N343">
        <v>10</v>
      </c>
      <c r="O343" t="s">
        <v>2531</v>
      </c>
    </row>
    <row r="344" spans="1:15">
      <c r="A344" t="s">
        <v>1842</v>
      </c>
      <c r="B344" t="s">
        <v>39</v>
      </c>
      <c r="C344">
        <v>7</v>
      </c>
      <c r="D344">
        <v>61.7</v>
      </c>
      <c r="E344">
        <v>431.90000000000003</v>
      </c>
      <c r="F344" s="12">
        <v>45721</v>
      </c>
      <c r="G344" s="12">
        <v>45724</v>
      </c>
      <c r="H344" t="s">
        <v>27</v>
      </c>
      <c r="I344" t="s">
        <v>40</v>
      </c>
      <c r="J344">
        <v>5</v>
      </c>
      <c r="K344" t="s">
        <v>19</v>
      </c>
      <c r="L344" t="s">
        <v>33</v>
      </c>
      <c r="M344">
        <v>3</v>
      </c>
      <c r="N344">
        <v>10</v>
      </c>
      <c r="O344" t="s">
        <v>2530</v>
      </c>
    </row>
    <row r="345" spans="1:15">
      <c r="A345" t="s">
        <v>1841</v>
      </c>
      <c r="B345" t="s">
        <v>37</v>
      </c>
      <c r="C345">
        <v>9</v>
      </c>
      <c r="D345">
        <v>62.9</v>
      </c>
      <c r="E345">
        <v>566.1</v>
      </c>
      <c r="F345" s="12">
        <v>45721</v>
      </c>
      <c r="G345" s="12">
        <v>45726</v>
      </c>
      <c r="H345" t="s">
        <v>23</v>
      </c>
      <c r="I345" t="s">
        <v>51</v>
      </c>
      <c r="J345">
        <v>5</v>
      </c>
      <c r="K345" t="s">
        <v>19</v>
      </c>
      <c r="L345" t="s">
        <v>33</v>
      </c>
      <c r="M345">
        <v>5</v>
      </c>
      <c r="N345">
        <v>10</v>
      </c>
      <c r="O345" t="s">
        <v>2531</v>
      </c>
    </row>
    <row r="346" spans="1:15">
      <c r="A346" t="s">
        <v>1840</v>
      </c>
      <c r="B346" t="s">
        <v>135</v>
      </c>
      <c r="C346">
        <v>5</v>
      </c>
      <c r="D346">
        <v>63.7</v>
      </c>
      <c r="E346">
        <v>318.5</v>
      </c>
      <c r="F346" s="12">
        <v>45721</v>
      </c>
      <c r="G346" s="12">
        <v>45724</v>
      </c>
      <c r="H346" t="s">
        <v>27</v>
      </c>
      <c r="I346" t="s">
        <v>40</v>
      </c>
      <c r="J346">
        <v>3</v>
      </c>
      <c r="K346" t="s">
        <v>19</v>
      </c>
      <c r="L346" t="s">
        <v>33</v>
      </c>
      <c r="M346">
        <v>3</v>
      </c>
      <c r="N346">
        <v>10</v>
      </c>
      <c r="O346" t="s">
        <v>2530</v>
      </c>
    </row>
    <row r="347" spans="1:15">
      <c r="A347" t="s">
        <v>1814</v>
      </c>
      <c r="B347" t="s">
        <v>42</v>
      </c>
      <c r="C347">
        <v>3</v>
      </c>
      <c r="D347">
        <v>48.9</v>
      </c>
      <c r="E347">
        <v>146.69999999999999</v>
      </c>
      <c r="F347" s="12">
        <v>45720</v>
      </c>
      <c r="G347" s="12">
        <v>45721</v>
      </c>
      <c r="H347" t="s">
        <v>23</v>
      </c>
      <c r="I347" t="s">
        <v>70</v>
      </c>
      <c r="J347">
        <v>4</v>
      </c>
      <c r="K347" t="s">
        <v>19</v>
      </c>
      <c r="L347" t="s">
        <v>33</v>
      </c>
      <c r="M347">
        <v>1</v>
      </c>
      <c r="N347">
        <v>10</v>
      </c>
      <c r="O347" t="s">
        <v>2531</v>
      </c>
    </row>
    <row r="348" spans="1:15">
      <c r="A348" t="s">
        <v>1813</v>
      </c>
      <c r="B348" t="s">
        <v>39</v>
      </c>
      <c r="C348">
        <v>4</v>
      </c>
      <c r="D348">
        <v>176.5</v>
      </c>
      <c r="E348">
        <v>706</v>
      </c>
      <c r="F348" s="12">
        <v>45720</v>
      </c>
      <c r="G348" s="12">
        <v>45721</v>
      </c>
      <c r="H348" t="s">
        <v>27</v>
      </c>
      <c r="I348" t="s">
        <v>40</v>
      </c>
      <c r="J348">
        <v>5</v>
      </c>
      <c r="K348" t="s">
        <v>19</v>
      </c>
      <c r="L348" t="s">
        <v>33</v>
      </c>
      <c r="M348">
        <v>1</v>
      </c>
      <c r="N348">
        <v>10</v>
      </c>
      <c r="O348" t="s">
        <v>2530</v>
      </c>
    </row>
    <row r="349" spans="1:15">
      <c r="A349" t="s">
        <v>1812</v>
      </c>
      <c r="B349" t="s">
        <v>30</v>
      </c>
      <c r="C349">
        <v>5</v>
      </c>
      <c r="D349">
        <v>115.4</v>
      </c>
      <c r="E349">
        <v>577</v>
      </c>
      <c r="F349" s="12">
        <v>45720</v>
      </c>
      <c r="G349" s="12">
        <v>45721</v>
      </c>
      <c r="H349" t="s">
        <v>23</v>
      </c>
      <c r="I349" t="s">
        <v>18</v>
      </c>
      <c r="J349">
        <v>4</v>
      </c>
      <c r="K349" t="s">
        <v>19</v>
      </c>
      <c r="L349" t="s">
        <v>33</v>
      </c>
      <c r="M349">
        <v>1</v>
      </c>
      <c r="N349">
        <v>10</v>
      </c>
      <c r="O349" t="s">
        <v>2531</v>
      </c>
    </row>
    <row r="350" spans="1:15">
      <c r="A350" t="s">
        <v>1811</v>
      </c>
      <c r="B350" t="s">
        <v>26</v>
      </c>
      <c r="C350">
        <v>5</v>
      </c>
      <c r="D350">
        <v>51</v>
      </c>
      <c r="E350">
        <v>255</v>
      </c>
      <c r="F350" s="12">
        <v>45720</v>
      </c>
      <c r="G350" s="12">
        <v>45721</v>
      </c>
      <c r="H350" t="s">
        <v>23</v>
      </c>
      <c r="I350" t="s">
        <v>18</v>
      </c>
      <c r="J350">
        <v>3</v>
      </c>
      <c r="K350" t="s">
        <v>19</v>
      </c>
      <c r="L350" t="s">
        <v>33</v>
      </c>
      <c r="M350">
        <v>1</v>
      </c>
      <c r="N350">
        <v>10</v>
      </c>
      <c r="O350" t="s">
        <v>2531</v>
      </c>
    </row>
    <row r="351" spans="1:15">
      <c r="A351" t="s">
        <v>1810</v>
      </c>
      <c r="B351" t="s">
        <v>39</v>
      </c>
      <c r="C351">
        <v>1</v>
      </c>
      <c r="D351">
        <v>86.1</v>
      </c>
      <c r="E351">
        <v>86.1</v>
      </c>
      <c r="F351" s="12">
        <v>45720</v>
      </c>
      <c r="G351" s="12">
        <v>45722</v>
      </c>
      <c r="H351" t="s">
        <v>27</v>
      </c>
      <c r="I351" t="s">
        <v>51</v>
      </c>
      <c r="J351">
        <v>4</v>
      </c>
      <c r="K351" t="s">
        <v>19</v>
      </c>
      <c r="L351" t="s">
        <v>33</v>
      </c>
      <c r="M351">
        <v>2</v>
      </c>
      <c r="N351">
        <v>10</v>
      </c>
      <c r="O351" t="s">
        <v>2530</v>
      </c>
    </row>
    <row r="352" spans="1:15">
      <c r="A352" t="s">
        <v>1809</v>
      </c>
      <c r="B352" t="s">
        <v>54</v>
      </c>
      <c r="C352">
        <v>6</v>
      </c>
      <c r="D352">
        <v>38.5</v>
      </c>
      <c r="E352">
        <v>231</v>
      </c>
      <c r="F352" s="12">
        <v>45720</v>
      </c>
      <c r="G352" s="12">
        <v>45724</v>
      </c>
      <c r="H352" t="s">
        <v>27</v>
      </c>
      <c r="I352" t="s">
        <v>18</v>
      </c>
      <c r="J352">
        <v>4</v>
      </c>
      <c r="K352" t="s">
        <v>19</v>
      </c>
      <c r="L352" t="s">
        <v>33</v>
      </c>
      <c r="M352">
        <v>4</v>
      </c>
      <c r="N352">
        <v>10</v>
      </c>
      <c r="O352" t="s">
        <v>2530</v>
      </c>
    </row>
    <row r="353" spans="1:15">
      <c r="A353" t="s">
        <v>439</v>
      </c>
      <c r="B353" t="s">
        <v>54</v>
      </c>
      <c r="C353">
        <v>1</v>
      </c>
      <c r="D353">
        <v>21.2</v>
      </c>
      <c r="E353">
        <v>21.2</v>
      </c>
      <c r="F353" s="12">
        <v>45672</v>
      </c>
      <c r="G353" s="12">
        <v>45672</v>
      </c>
      <c r="H353" t="s">
        <v>27</v>
      </c>
      <c r="I353" t="s">
        <v>35</v>
      </c>
      <c r="J353">
        <v>5</v>
      </c>
      <c r="K353" t="s">
        <v>19</v>
      </c>
      <c r="L353" t="s">
        <v>33</v>
      </c>
      <c r="M353">
        <v>0</v>
      </c>
      <c r="N353">
        <v>3</v>
      </c>
      <c r="O353" t="s">
        <v>2530</v>
      </c>
    </row>
    <row r="354" spans="1:15">
      <c r="A354" t="s">
        <v>440</v>
      </c>
      <c r="B354" t="s">
        <v>39</v>
      </c>
      <c r="C354">
        <v>2</v>
      </c>
      <c r="D354">
        <v>48.2</v>
      </c>
      <c r="E354">
        <v>96.4</v>
      </c>
      <c r="F354" s="12">
        <v>45672</v>
      </c>
      <c r="G354" s="12">
        <v>45680</v>
      </c>
      <c r="H354" t="s">
        <v>27</v>
      </c>
      <c r="I354" t="s">
        <v>18</v>
      </c>
      <c r="J354">
        <v>5</v>
      </c>
      <c r="K354" t="s">
        <v>19</v>
      </c>
      <c r="L354" t="s">
        <v>33</v>
      </c>
      <c r="M354">
        <v>8</v>
      </c>
      <c r="N354">
        <v>3</v>
      </c>
      <c r="O354" t="s">
        <v>2530</v>
      </c>
    </row>
    <row r="355" spans="1:15">
      <c r="A355" t="s">
        <v>441</v>
      </c>
      <c r="B355" t="s">
        <v>22</v>
      </c>
      <c r="C355">
        <v>4</v>
      </c>
      <c r="D355">
        <v>83.4</v>
      </c>
      <c r="E355">
        <v>333.6</v>
      </c>
      <c r="F355" s="12">
        <v>45673</v>
      </c>
      <c r="G355" s="12">
        <v>45674</v>
      </c>
      <c r="H355" t="s">
        <v>23</v>
      </c>
      <c r="I355" t="s">
        <v>18</v>
      </c>
      <c r="J355">
        <v>4</v>
      </c>
      <c r="K355" t="s">
        <v>19</v>
      </c>
      <c r="L355" t="s">
        <v>33</v>
      </c>
      <c r="M355">
        <v>1</v>
      </c>
      <c r="N355">
        <v>3</v>
      </c>
      <c r="O355" t="s">
        <v>2531</v>
      </c>
    </row>
    <row r="356" spans="1:15">
      <c r="A356" t="s">
        <v>442</v>
      </c>
      <c r="B356" t="s">
        <v>46</v>
      </c>
      <c r="C356">
        <v>3</v>
      </c>
      <c r="D356">
        <v>45.3</v>
      </c>
      <c r="E356">
        <v>135.89999999999998</v>
      </c>
      <c r="F356" s="12">
        <v>45673</v>
      </c>
      <c r="G356" s="12">
        <v>45679</v>
      </c>
      <c r="H356" t="s">
        <v>23</v>
      </c>
      <c r="I356" t="s">
        <v>40</v>
      </c>
      <c r="J356">
        <v>3</v>
      </c>
      <c r="K356" t="s">
        <v>19</v>
      </c>
      <c r="L356" t="s">
        <v>33</v>
      </c>
      <c r="M356">
        <v>6</v>
      </c>
      <c r="N356">
        <v>3</v>
      </c>
      <c r="O356" t="s">
        <v>2531</v>
      </c>
    </row>
    <row r="357" spans="1:15">
      <c r="A357" t="s">
        <v>443</v>
      </c>
      <c r="B357" t="s">
        <v>135</v>
      </c>
      <c r="C357">
        <v>1</v>
      </c>
      <c r="D357">
        <v>42</v>
      </c>
      <c r="E357">
        <v>42</v>
      </c>
      <c r="F357" s="12">
        <v>45673</v>
      </c>
      <c r="G357" s="12">
        <v>45674</v>
      </c>
      <c r="H357" t="s">
        <v>17</v>
      </c>
      <c r="I357" t="s">
        <v>18</v>
      </c>
      <c r="J357">
        <v>4</v>
      </c>
      <c r="K357" t="s">
        <v>19</v>
      </c>
      <c r="L357" t="s">
        <v>33</v>
      </c>
      <c r="M357">
        <v>1</v>
      </c>
      <c r="N357">
        <v>3</v>
      </c>
      <c r="O357" t="s">
        <v>2533</v>
      </c>
    </row>
    <row r="358" spans="1:15">
      <c r="A358" t="s">
        <v>444</v>
      </c>
      <c r="B358" t="s">
        <v>16</v>
      </c>
      <c r="C358">
        <v>9</v>
      </c>
      <c r="D358">
        <v>21.8</v>
      </c>
      <c r="E358">
        <v>196.20000000000002</v>
      </c>
      <c r="F358" s="12">
        <v>45673</v>
      </c>
      <c r="G358" s="12">
        <v>45675</v>
      </c>
      <c r="H358" t="s">
        <v>27</v>
      </c>
      <c r="I358" t="s">
        <v>35</v>
      </c>
      <c r="J358">
        <v>4</v>
      </c>
      <c r="K358" t="s">
        <v>19</v>
      </c>
      <c r="L358" t="s">
        <v>33</v>
      </c>
      <c r="M358">
        <v>2</v>
      </c>
      <c r="N358">
        <v>3</v>
      </c>
      <c r="O358" t="s">
        <v>2530</v>
      </c>
    </row>
    <row r="359" spans="1:15">
      <c r="A359" t="s">
        <v>445</v>
      </c>
      <c r="B359" t="s">
        <v>44</v>
      </c>
      <c r="C359">
        <v>18</v>
      </c>
      <c r="D359">
        <v>21.4</v>
      </c>
      <c r="E359">
        <v>385.2</v>
      </c>
      <c r="F359" s="12">
        <v>45673</v>
      </c>
      <c r="G359" s="12">
        <v>45676</v>
      </c>
      <c r="H359" t="s">
        <v>27</v>
      </c>
      <c r="I359" t="s">
        <v>35</v>
      </c>
      <c r="J359">
        <v>5</v>
      </c>
      <c r="K359" t="s">
        <v>19</v>
      </c>
      <c r="L359" t="s">
        <v>33</v>
      </c>
      <c r="M359">
        <v>3</v>
      </c>
      <c r="N359">
        <v>3</v>
      </c>
      <c r="O359" t="s">
        <v>2530</v>
      </c>
    </row>
    <row r="360" spans="1:15">
      <c r="A360" t="s">
        <v>446</v>
      </c>
      <c r="B360" t="s">
        <v>54</v>
      </c>
      <c r="C360">
        <v>3</v>
      </c>
      <c r="D360">
        <v>45</v>
      </c>
      <c r="E360">
        <v>135</v>
      </c>
      <c r="F360" s="12">
        <v>45673</v>
      </c>
      <c r="G360" s="12">
        <v>45673</v>
      </c>
      <c r="H360" t="s">
        <v>27</v>
      </c>
      <c r="I360" t="s">
        <v>35</v>
      </c>
      <c r="J360">
        <v>5</v>
      </c>
      <c r="K360" t="s">
        <v>19</v>
      </c>
      <c r="L360" t="s">
        <v>33</v>
      </c>
      <c r="M360">
        <v>0</v>
      </c>
      <c r="N360">
        <v>3</v>
      </c>
      <c r="O360" t="s">
        <v>2530</v>
      </c>
    </row>
    <row r="361" spans="1:15">
      <c r="A361" t="s">
        <v>447</v>
      </c>
      <c r="B361" t="s">
        <v>81</v>
      </c>
      <c r="C361">
        <v>1</v>
      </c>
      <c r="D361">
        <v>39.6</v>
      </c>
      <c r="E361">
        <v>39.6</v>
      </c>
      <c r="F361" s="12">
        <v>45673</v>
      </c>
      <c r="G361" s="12">
        <v>45674</v>
      </c>
      <c r="H361" t="s">
        <v>23</v>
      </c>
      <c r="I361" t="s">
        <v>18</v>
      </c>
      <c r="J361">
        <v>5</v>
      </c>
      <c r="K361" t="s">
        <v>19</v>
      </c>
      <c r="L361" t="s">
        <v>33</v>
      </c>
      <c r="M361">
        <v>1</v>
      </c>
      <c r="N361">
        <v>3</v>
      </c>
      <c r="O361" t="s">
        <v>2531</v>
      </c>
    </row>
    <row r="362" spans="1:15">
      <c r="A362" t="s">
        <v>448</v>
      </c>
      <c r="B362" t="s">
        <v>69</v>
      </c>
      <c r="C362">
        <v>3</v>
      </c>
      <c r="D362">
        <v>79.8</v>
      </c>
      <c r="E362">
        <v>239.39999999999998</v>
      </c>
      <c r="F362" s="12">
        <v>45673</v>
      </c>
      <c r="G362" s="12">
        <v>45679</v>
      </c>
      <c r="H362" t="s">
        <v>27</v>
      </c>
      <c r="I362" t="s">
        <v>35</v>
      </c>
      <c r="J362">
        <v>2</v>
      </c>
      <c r="K362" t="s">
        <v>19</v>
      </c>
      <c r="L362" t="s">
        <v>33</v>
      </c>
      <c r="M362">
        <v>6</v>
      </c>
      <c r="N362">
        <v>3</v>
      </c>
      <c r="O362" t="s">
        <v>2530</v>
      </c>
    </row>
    <row r="363" spans="1:15">
      <c r="A363" t="s">
        <v>1808</v>
      </c>
      <c r="B363" t="s">
        <v>39</v>
      </c>
      <c r="C363">
        <v>1</v>
      </c>
      <c r="D363">
        <v>81</v>
      </c>
      <c r="E363">
        <v>81</v>
      </c>
      <c r="F363" s="12">
        <v>45720</v>
      </c>
      <c r="G363" s="12">
        <v>45721</v>
      </c>
      <c r="H363" t="s">
        <v>27</v>
      </c>
      <c r="I363" t="s">
        <v>40</v>
      </c>
      <c r="J363">
        <v>3</v>
      </c>
      <c r="K363" t="s">
        <v>19</v>
      </c>
      <c r="L363" t="s">
        <v>33</v>
      </c>
      <c r="M363">
        <v>1</v>
      </c>
      <c r="N363">
        <v>10</v>
      </c>
      <c r="O363" t="s">
        <v>2530</v>
      </c>
    </row>
    <row r="364" spans="1:15">
      <c r="A364" t="s">
        <v>1790</v>
      </c>
      <c r="B364" t="s">
        <v>128</v>
      </c>
      <c r="C364">
        <v>1</v>
      </c>
      <c r="D364">
        <v>50.2</v>
      </c>
      <c r="E364">
        <v>50.2</v>
      </c>
      <c r="F364" s="12">
        <v>45720</v>
      </c>
      <c r="G364" s="12">
        <v>45721</v>
      </c>
      <c r="H364" t="s">
        <v>27</v>
      </c>
      <c r="I364" t="s">
        <v>35</v>
      </c>
      <c r="J364">
        <v>5</v>
      </c>
      <c r="K364" t="s">
        <v>19</v>
      </c>
      <c r="L364" t="s">
        <v>33</v>
      </c>
      <c r="M364">
        <v>1</v>
      </c>
      <c r="N364">
        <v>10</v>
      </c>
      <c r="O364" t="s">
        <v>2530</v>
      </c>
    </row>
    <row r="365" spans="1:15">
      <c r="A365" t="s">
        <v>1789</v>
      </c>
      <c r="B365" t="s">
        <v>44</v>
      </c>
      <c r="C365">
        <v>3</v>
      </c>
      <c r="D365">
        <v>35.6</v>
      </c>
      <c r="E365">
        <v>106.80000000000001</v>
      </c>
      <c r="F365" s="12">
        <v>45720</v>
      </c>
      <c r="G365" s="12">
        <v>45721</v>
      </c>
      <c r="H365" t="s">
        <v>27</v>
      </c>
      <c r="I365" t="s">
        <v>40</v>
      </c>
      <c r="J365">
        <v>4</v>
      </c>
      <c r="K365" t="s">
        <v>19</v>
      </c>
      <c r="L365" t="s">
        <v>33</v>
      </c>
      <c r="M365">
        <v>1</v>
      </c>
      <c r="N365">
        <v>10</v>
      </c>
      <c r="O365" t="s">
        <v>2530</v>
      </c>
    </row>
    <row r="366" spans="1:15">
      <c r="A366" t="s">
        <v>1788</v>
      </c>
      <c r="B366" t="s">
        <v>44</v>
      </c>
      <c r="C366">
        <v>2</v>
      </c>
      <c r="D366">
        <v>79.8</v>
      </c>
      <c r="E366">
        <v>159.6</v>
      </c>
      <c r="F366" s="12">
        <v>45720</v>
      </c>
      <c r="G366" s="12">
        <v>45722</v>
      </c>
      <c r="H366" t="s">
        <v>27</v>
      </c>
      <c r="I366" t="s">
        <v>18</v>
      </c>
      <c r="J366">
        <v>3</v>
      </c>
      <c r="K366" t="s">
        <v>19</v>
      </c>
      <c r="L366" t="s">
        <v>33</v>
      </c>
      <c r="M366">
        <v>2</v>
      </c>
      <c r="N366">
        <v>10</v>
      </c>
      <c r="O366" t="s">
        <v>2530</v>
      </c>
    </row>
    <row r="367" spans="1:15">
      <c r="A367" t="s">
        <v>1787</v>
      </c>
      <c r="B367" t="s">
        <v>39</v>
      </c>
      <c r="C367">
        <v>2</v>
      </c>
      <c r="D367">
        <v>96.5</v>
      </c>
      <c r="E367">
        <v>193</v>
      </c>
      <c r="F367" s="12">
        <v>45720</v>
      </c>
      <c r="G367" s="12">
        <v>45721</v>
      </c>
      <c r="H367" t="s">
        <v>27</v>
      </c>
      <c r="I367" t="s">
        <v>35</v>
      </c>
      <c r="J367">
        <v>3</v>
      </c>
      <c r="K367" t="s">
        <v>19</v>
      </c>
      <c r="L367" t="s">
        <v>33</v>
      </c>
      <c r="M367">
        <v>1</v>
      </c>
      <c r="N367">
        <v>10</v>
      </c>
      <c r="O367" t="s">
        <v>2530</v>
      </c>
    </row>
    <row r="368" spans="1:15">
      <c r="A368" t="s">
        <v>1786</v>
      </c>
      <c r="B368" t="s">
        <v>44</v>
      </c>
      <c r="C368">
        <v>1</v>
      </c>
      <c r="D368">
        <v>52.2</v>
      </c>
      <c r="E368">
        <v>52.2</v>
      </c>
      <c r="F368" s="12">
        <v>45720</v>
      </c>
      <c r="G368" s="12">
        <v>45721</v>
      </c>
      <c r="H368" t="s">
        <v>17</v>
      </c>
      <c r="I368" t="s">
        <v>35</v>
      </c>
      <c r="J368">
        <v>4</v>
      </c>
      <c r="K368" t="s">
        <v>19</v>
      </c>
      <c r="L368" t="s">
        <v>33</v>
      </c>
      <c r="M368">
        <v>1</v>
      </c>
      <c r="N368">
        <v>10</v>
      </c>
      <c r="O368" t="s">
        <v>2533</v>
      </c>
    </row>
    <row r="369" spans="1:15">
      <c r="A369" t="s">
        <v>1785</v>
      </c>
      <c r="B369" t="s">
        <v>26</v>
      </c>
      <c r="C369">
        <v>2</v>
      </c>
      <c r="D369">
        <v>149.6</v>
      </c>
      <c r="E369">
        <v>299.2</v>
      </c>
      <c r="F369" s="12">
        <v>45720</v>
      </c>
      <c r="G369" s="12">
        <v>45721</v>
      </c>
      <c r="H369" t="s">
        <v>27</v>
      </c>
      <c r="I369" t="s">
        <v>18</v>
      </c>
      <c r="J369">
        <v>4</v>
      </c>
      <c r="K369" t="s">
        <v>19</v>
      </c>
      <c r="L369" t="s">
        <v>33</v>
      </c>
      <c r="M369">
        <v>1</v>
      </c>
      <c r="N369">
        <v>10</v>
      </c>
      <c r="O369" t="s">
        <v>2530</v>
      </c>
    </row>
    <row r="370" spans="1:15">
      <c r="A370" t="s">
        <v>1784</v>
      </c>
      <c r="B370" t="s">
        <v>39</v>
      </c>
      <c r="C370">
        <v>1</v>
      </c>
      <c r="D370">
        <v>94.6</v>
      </c>
      <c r="E370">
        <v>94.6</v>
      </c>
      <c r="F370" s="12">
        <v>45720</v>
      </c>
      <c r="G370" s="12">
        <v>45734</v>
      </c>
      <c r="H370" t="s">
        <v>27</v>
      </c>
      <c r="I370" t="s">
        <v>18</v>
      </c>
      <c r="J370">
        <v>3</v>
      </c>
      <c r="K370" t="s">
        <v>19</v>
      </c>
      <c r="L370" t="s">
        <v>33</v>
      </c>
      <c r="M370">
        <v>14</v>
      </c>
      <c r="N370">
        <v>10</v>
      </c>
      <c r="O370" t="s">
        <v>2530</v>
      </c>
    </row>
    <row r="371" spans="1:15">
      <c r="A371" t="s">
        <v>1783</v>
      </c>
      <c r="B371" t="s">
        <v>22</v>
      </c>
      <c r="C371">
        <v>7</v>
      </c>
      <c r="D371">
        <v>39.9</v>
      </c>
      <c r="E371">
        <v>279.3</v>
      </c>
      <c r="F371" s="12">
        <v>45720</v>
      </c>
      <c r="G371" s="12">
        <v>45721</v>
      </c>
      <c r="H371" t="s">
        <v>23</v>
      </c>
      <c r="I371" t="s">
        <v>40</v>
      </c>
      <c r="J371">
        <v>3</v>
      </c>
      <c r="K371" t="s">
        <v>19</v>
      </c>
      <c r="L371" t="s">
        <v>33</v>
      </c>
      <c r="M371">
        <v>1</v>
      </c>
      <c r="N371">
        <v>10</v>
      </c>
      <c r="O371" t="s">
        <v>2531</v>
      </c>
    </row>
    <row r="372" spans="1:15">
      <c r="A372" t="s">
        <v>1757</v>
      </c>
      <c r="B372" t="s">
        <v>26</v>
      </c>
      <c r="C372">
        <v>6</v>
      </c>
      <c r="D372">
        <v>99.4</v>
      </c>
      <c r="E372">
        <v>596.40000000000009</v>
      </c>
      <c r="F372" s="12">
        <v>45719</v>
      </c>
      <c r="G372" s="12">
        <v>45722</v>
      </c>
      <c r="H372" t="s">
        <v>23</v>
      </c>
      <c r="I372" t="s">
        <v>18</v>
      </c>
      <c r="J372">
        <v>5</v>
      </c>
      <c r="K372" t="s">
        <v>19</v>
      </c>
      <c r="L372" t="s">
        <v>33</v>
      </c>
      <c r="M372">
        <v>3</v>
      </c>
      <c r="N372">
        <v>10</v>
      </c>
      <c r="O372" t="s">
        <v>2531</v>
      </c>
    </row>
    <row r="373" spans="1:15">
      <c r="A373" t="s">
        <v>1756</v>
      </c>
      <c r="B373" t="s">
        <v>26</v>
      </c>
      <c r="C373">
        <v>4</v>
      </c>
      <c r="D373">
        <v>115.7</v>
      </c>
      <c r="E373">
        <v>462.8</v>
      </c>
      <c r="F373" s="12">
        <v>45719</v>
      </c>
      <c r="G373" s="12">
        <v>45722</v>
      </c>
      <c r="H373" t="s">
        <v>27</v>
      </c>
      <c r="I373" t="s">
        <v>35</v>
      </c>
      <c r="J373">
        <v>4</v>
      </c>
      <c r="K373" t="s">
        <v>19</v>
      </c>
      <c r="L373" t="s">
        <v>33</v>
      </c>
      <c r="M373">
        <v>3</v>
      </c>
      <c r="N373">
        <v>10</v>
      </c>
      <c r="O373" t="s">
        <v>2530</v>
      </c>
    </row>
    <row r="374" spans="1:15">
      <c r="A374" t="s">
        <v>1755</v>
      </c>
      <c r="B374" t="s">
        <v>135</v>
      </c>
      <c r="C374">
        <v>2</v>
      </c>
      <c r="D374">
        <v>37.200000000000003</v>
      </c>
      <c r="E374">
        <v>74.400000000000006</v>
      </c>
      <c r="F374" s="12">
        <v>45719</v>
      </c>
      <c r="G374" s="12">
        <v>45722</v>
      </c>
      <c r="H374" t="s">
        <v>23</v>
      </c>
      <c r="I374" t="s">
        <v>70</v>
      </c>
      <c r="J374">
        <v>4</v>
      </c>
      <c r="K374" t="s">
        <v>19</v>
      </c>
      <c r="L374" t="s">
        <v>33</v>
      </c>
      <c r="M374">
        <v>3</v>
      </c>
      <c r="N374">
        <v>10</v>
      </c>
      <c r="O374" t="s">
        <v>2531</v>
      </c>
    </row>
    <row r="375" spans="1:15">
      <c r="A375" t="s">
        <v>461</v>
      </c>
      <c r="B375" t="s">
        <v>146</v>
      </c>
      <c r="C375">
        <v>4</v>
      </c>
      <c r="D375">
        <v>77.599999999999994</v>
      </c>
      <c r="E375">
        <v>310.39999999999998</v>
      </c>
      <c r="F375" s="12">
        <v>45674</v>
      </c>
      <c r="G375" s="12">
        <v>45675</v>
      </c>
      <c r="H375" t="s">
        <v>17</v>
      </c>
      <c r="I375" t="s">
        <v>40</v>
      </c>
      <c r="J375">
        <v>4</v>
      </c>
      <c r="K375" t="s">
        <v>19</v>
      </c>
      <c r="L375" t="s">
        <v>33</v>
      </c>
      <c r="M375">
        <v>1</v>
      </c>
      <c r="N375">
        <v>3</v>
      </c>
      <c r="O375" t="s">
        <v>2533</v>
      </c>
    </row>
    <row r="376" spans="1:15">
      <c r="A376" t="s">
        <v>462</v>
      </c>
      <c r="B376" t="s">
        <v>76</v>
      </c>
      <c r="C376">
        <v>5</v>
      </c>
      <c r="D376">
        <v>65.5</v>
      </c>
      <c r="E376">
        <v>327.5</v>
      </c>
      <c r="F376" s="12">
        <v>45674</v>
      </c>
      <c r="G376" s="12">
        <v>45674</v>
      </c>
      <c r="H376" t="s">
        <v>23</v>
      </c>
      <c r="I376" t="s">
        <v>35</v>
      </c>
      <c r="J376">
        <v>4</v>
      </c>
      <c r="K376" t="s">
        <v>19</v>
      </c>
      <c r="L376" t="s">
        <v>33</v>
      </c>
      <c r="M376">
        <v>0</v>
      </c>
      <c r="N376">
        <v>3</v>
      </c>
      <c r="O376" t="s">
        <v>2531</v>
      </c>
    </row>
    <row r="377" spans="1:15">
      <c r="A377" t="s">
        <v>463</v>
      </c>
      <c r="B377" t="s">
        <v>39</v>
      </c>
      <c r="C377">
        <v>3</v>
      </c>
      <c r="D377">
        <v>90.1</v>
      </c>
      <c r="E377">
        <v>270.29999999999995</v>
      </c>
      <c r="F377" s="12">
        <v>45674</v>
      </c>
      <c r="G377" s="12">
        <v>45676</v>
      </c>
      <c r="H377" t="s">
        <v>27</v>
      </c>
      <c r="I377" t="s">
        <v>18</v>
      </c>
      <c r="J377">
        <v>4</v>
      </c>
      <c r="K377" t="s">
        <v>19</v>
      </c>
      <c r="L377" t="s">
        <v>33</v>
      </c>
      <c r="M377">
        <v>2</v>
      </c>
      <c r="N377">
        <v>3</v>
      </c>
      <c r="O377" t="s">
        <v>2530</v>
      </c>
    </row>
    <row r="378" spans="1:15">
      <c r="A378" t="s">
        <v>464</v>
      </c>
      <c r="B378" t="s">
        <v>22</v>
      </c>
      <c r="C378">
        <v>2</v>
      </c>
      <c r="D378">
        <v>108.3</v>
      </c>
      <c r="E378">
        <v>216.6</v>
      </c>
      <c r="F378" s="12">
        <v>45674</v>
      </c>
      <c r="G378" s="12">
        <v>45677</v>
      </c>
      <c r="H378" t="s">
        <v>89</v>
      </c>
      <c r="I378" t="s">
        <v>70</v>
      </c>
      <c r="J378">
        <v>4</v>
      </c>
      <c r="K378" t="s">
        <v>19</v>
      </c>
      <c r="L378" t="s">
        <v>33</v>
      </c>
      <c r="M378">
        <v>3</v>
      </c>
      <c r="N378">
        <v>3</v>
      </c>
      <c r="O378" t="s">
        <v>2532</v>
      </c>
    </row>
    <row r="379" spans="1:15">
      <c r="A379" t="s">
        <v>465</v>
      </c>
      <c r="B379" t="s">
        <v>37</v>
      </c>
      <c r="C379">
        <v>3</v>
      </c>
      <c r="D379">
        <v>59.9</v>
      </c>
      <c r="E379">
        <v>179.7</v>
      </c>
      <c r="F379" s="12">
        <v>45674</v>
      </c>
      <c r="G379" s="12">
        <v>45678</v>
      </c>
      <c r="H379" t="s">
        <v>27</v>
      </c>
      <c r="I379" t="s">
        <v>18</v>
      </c>
      <c r="J379">
        <v>4</v>
      </c>
      <c r="K379" t="s">
        <v>19</v>
      </c>
      <c r="L379" t="s">
        <v>33</v>
      </c>
      <c r="M379">
        <v>4</v>
      </c>
      <c r="N379">
        <v>3</v>
      </c>
      <c r="O379" t="s">
        <v>2530</v>
      </c>
    </row>
    <row r="380" spans="1:15">
      <c r="A380" t="s">
        <v>466</v>
      </c>
      <c r="B380" t="s">
        <v>26</v>
      </c>
      <c r="C380">
        <v>17</v>
      </c>
      <c r="D380">
        <v>139</v>
      </c>
      <c r="E380">
        <v>2363</v>
      </c>
      <c r="F380" s="12">
        <v>45674</v>
      </c>
      <c r="G380" s="12">
        <v>45676</v>
      </c>
      <c r="H380" t="s">
        <v>27</v>
      </c>
      <c r="I380" t="s">
        <v>35</v>
      </c>
      <c r="J380">
        <v>2</v>
      </c>
      <c r="K380" t="s">
        <v>19</v>
      </c>
      <c r="L380" t="s">
        <v>33</v>
      </c>
      <c r="M380">
        <v>2</v>
      </c>
      <c r="N380">
        <v>3</v>
      </c>
      <c r="O380" t="s">
        <v>2530</v>
      </c>
    </row>
    <row r="381" spans="1:15">
      <c r="A381" t="s">
        <v>467</v>
      </c>
      <c r="B381" t="s">
        <v>39</v>
      </c>
      <c r="C381">
        <v>3</v>
      </c>
      <c r="D381">
        <v>87.3</v>
      </c>
      <c r="E381">
        <v>261.89999999999998</v>
      </c>
      <c r="F381" s="12">
        <v>45674</v>
      </c>
      <c r="G381" s="12">
        <v>45675</v>
      </c>
      <c r="H381" t="s">
        <v>27</v>
      </c>
      <c r="I381" t="s">
        <v>18</v>
      </c>
      <c r="J381">
        <v>4</v>
      </c>
      <c r="K381" t="s">
        <v>19</v>
      </c>
      <c r="L381" t="s">
        <v>33</v>
      </c>
      <c r="M381">
        <v>1</v>
      </c>
      <c r="N381">
        <v>3</v>
      </c>
      <c r="O381" t="s">
        <v>2530</v>
      </c>
    </row>
    <row r="382" spans="1:15">
      <c r="A382" t="s">
        <v>468</v>
      </c>
      <c r="B382" t="s">
        <v>67</v>
      </c>
      <c r="C382">
        <v>4</v>
      </c>
      <c r="D382">
        <v>42.3</v>
      </c>
      <c r="E382">
        <v>169.2</v>
      </c>
      <c r="F382" s="12">
        <v>45674</v>
      </c>
      <c r="G382" s="12">
        <v>45674</v>
      </c>
      <c r="H382" t="s">
        <v>23</v>
      </c>
      <c r="I382" t="s">
        <v>18</v>
      </c>
      <c r="J382">
        <v>4</v>
      </c>
      <c r="K382" t="s">
        <v>19</v>
      </c>
      <c r="L382" t="s">
        <v>33</v>
      </c>
      <c r="M382">
        <v>0</v>
      </c>
      <c r="N382">
        <v>3</v>
      </c>
      <c r="O382" t="s">
        <v>2531</v>
      </c>
    </row>
    <row r="383" spans="1:15">
      <c r="A383" t="s">
        <v>469</v>
      </c>
      <c r="B383" t="s">
        <v>81</v>
      </c>
      <c r="C383">
        <v>8</v>
      </c>
      <c r="D383">
        <v>103.6</v>
      </c>
      <c r="E383">
        <v>828.8</v>
      </c>
      <c r="F383" s="12">
        <v>45674</v>
      </c>
      <c r="G383" s="12">
        <v>45675</v>
      </c>
      <c r="H383" t="s">
        <v>89</v>
      </c>
      <c r="I383" t="s">
        <v>18</v>
      </c>
      <c r="J383">
        <v>3</v>
      </c>
      <c r="K383" t="s">
        <v>19</v>
      </c>
      <c r="L383" t="s">
        <v>33</v>
      </c>
      <c r="M383">
        <v>1</v>
      </c>
      <c r="N383">
        <v>3</v>
      </c>
      <c r="O383" t="s">
        <v>2532</v>
      </c>
    </row>
    <row r="384" spans="1:15">
      <c r="A384" t="s">
        <v>1754</v>
      </c>
      <c r="B384" t="s">
        <v>37</v>
      </c>
      <c r="C384">
        <v>7</v>
      </c>
      <c r="D384">
        <v>38.200000000000003</v>
      </c>
      <c r="E384">
        <v>267.40000000000003</v>
      </c>
      <c r="F384" s="12">
        <v>45719</v>
      </c>
      <c r="G384" s="12">
        <v>45722</v>
      </c>
      <c r="H384" t="s">
        <v>27</v>
      </c>
      <c r="I384" t="s">
        <v>18</v>
      </c>
      <c r="J384">
        <v>4</v>
      </c>
      <c r="K384" t="s">
        <v>19</v>
      </c>
      <c r="L384" t="s">
        <v>33</v>
      </c>
      <c r="M384">
        <v>3</v>
      </c>
      <c r="N384">
        <v>10</v>
      </c>
      <c r="O384" t="s">
        <v>2530</v>
      </c>
    </row>
    <row r="385" spans="1:15">
      <c r="A385" t="s">
        <v>1753</v>
      </c>
      <c r="B385" t="s">
        <v>26</v>
      </c>
      <c r="C385">
        <v>2</v>
      </c>
      <c r="D385">
        <v>121.6</v>
      </c>
      <c r="E385">
        <v>243.2</v>
      </c>
      <c r="F385" s="12">
        <v>45719</v>
      </c>
      <c r="G385" s="12">
        <v>45722</v>
      </c>
      <c r="H385" t="s">
        <v>23</v>
      </c>
      <c r="I385" t="s">
        <v>51</v>
      </c>
      <c r="J385">
        <v>5</v>
      </c>
      <c r="K385" t="s">
        <v>19</v>
      </c>
      <c r="L385" t="s">
        <v>33</v>
      </c>
      <c r="M385">
        <v>3</v>
      </c>
      <c r="N385">
        <v>10</v>
      </c>
      <c r="O385" t="s">
        <v>2531</v>
      </c>
    </row>
    <row r="386" spans="1:15">
      <c r="A386" t="s">
        <v>1752</v>
      </c>
      <c r="B386" t="s">
        <v>37</v>
      </c>
      <c r="C386">
        <v>16</v>
      </c>
      <c r="D386">
        <v>37.9</v>
      </c>
      <c r="E386">
        <v>606.4</v>
      </c>
      <c r="F386" s="12">
        <v>45719</v>
      </c>
      <c r="G386" s="12">
        <v>45720</v>
      </c>
      <c r="H386" t="s">
        <v>27</v>
      </c>
      <c r="I386" t="s">
        <v>51</v>
      </c>
      <c r="J386">
        <v>5</v>
      </c>
      <c r="K386" t="s">
        <v>19</v>
      </c>
      <c r="L386" t="s">
        <v>33</v>
      </c>
      <c r="M386">
        <v>1</v>
      </c>
      <c r="N386">
        <v>10</v>
      </c>
      <c r="O386" t="s">
        <v>2530</v>
      </c>
    </row>
    <row r="387" spans="1:15">
      <c r="A387" t="s">
        <v>1751</v>
      </c>
      <c r="B387" t="s">
        <v>146</v>
      </c>
      <c r="C387">
        <v>3</v>
      </c>
      <c r="D387">
        <v>45.1</v>
      </c>
      <c r="E387">
        <v>135.30000000000001</v>
      </c>
      <c r="F387" s="12">
        <v>45719</v>
      </c>
      <c r="G387" s="12">
        <v>45721</v>
      </c>
      <c r="H387" t="s">
        <v>27</v>
      </c>
      <c r="I387" t="s">
        <v>35</v>
      </c>
      <c r="J387">
        <v>5</v>
      </c>
      <c r="K387" t="s">
        <v>19</v>
      </c>
      <c r="L387" t="s">
        <v>33</v>
      </c>
      <c r="M387">
        <v>2</v>
      </c>
      <c r="N387">
        <v>10</v>
      </c>
      <c r="O387" t="s">
        <v>2530</v>
      </c>
    </row>
    <row r="388" spans="1:15">
      <c r="A388" t="s">
        <v>1750</v>
      </c>
      <c r="B388" t="s">
        <v>44</v>
      </c>
      <c r="C388">
        <v>2</v>
      </c>
      <c r="D388">
        <v>37.1</v>
      </c>
      <c r="E388">
        <v>74.2</v>
      </c>
      <c r="F388" s="12">
        <v>45719</v>
      </c>
      <c r="G388" s="12">
        <v>45722</v>
      </c>
      <c r="H388" t="s">
        <v>27</v>
      </c>
      <c r="I388" t="s">
        <v>40</v>
      </c>
      <c r="J388">
        <v>4</v>
      </c>
      <c r="K388" t="s">
        <v>19</v>
      </c>
      <c r="L388" t="s">
        <v>33</v>
      </c>
      <c r="M388">
        <v>3</v>
      </c>
      <c r="N388">
        <v>10</v>
      </c>
      <c r="O388" t="s">
        <v>2530</v>
      </c>
    </row>
    <row r="389" spans="1:15">
      <c r="A389" t="s">
        <v>1749</v>
      </c>
      <c r="B389" t="s">
        <v>171</v>
      </c>
      <c r="C389">
        <v>1</v>
      </c>
      <c r="D389">
        <v>36</v>
      </c>
      <c r="E389">
        <v>36</v>
      </c>
      <c r="F389" s="12">
        <v>45719</v>
      </c>
      <c r="G389" s="12">
        <v>45720</v>
      </c>
      <c r="H389" t="s">
        <v>27</v>
      </c>
      <c r="I389" t="s">
        <v>18</v>
      </c>
      <c r="J389">
        <v>3</v>
      </c>
      <c r="K389" t="s">
        <v>19</v>
      </c>
      <c r="L389" t="s">
        <v>33</v>
      </c>
      <c r="M389">
        <v>1</v>
      </c>
      <c r="N389">
        <v>10</v>
      </c>
      <c r="O389" t="s">
        <v>2530</v>
      </c>
    </row>
    <row r="390" spans="1:15">
      <c r="A390" t="s">
        <v>1748</v>
      </c>
      <c r="B390" t="s">
        <v>39</v>
      </c>
      <c r="C390">
        <v>11</v>
      </c>
      <c r="D390">
        <v>118.3</v>
      </c>
      <c r="E390">
        <v>1301.3</v>
      </c>
      <c r="F390" s="12">
        <v>45719</v>
      </c>
      <c r="G390" s="12">
        <v>45721</v>
      </c>
      <c r="H390" t="s">
        <v>23</v>
      </c>
      <c r="I390" t="s">
        <v>70</v>
      </c>
      <c r="J390">
        <v>5</v>
      </c>
      <c r="K390" t="s">
        <v>19</v>
      </c>
      <c r="L390" t="s">
        <v>33</v>
      </c>
      <c r="M390">
        <v>2</v>
      </c>
      <c r="N390">
        <v>10</v>
      </c>
      <c r="O390" t="s">
        <v>2531</v>
      </c>
    </row>
    <row r="391" spans="1:15">
      <c r="A391" t="s">
        <v>1747</v>
      </c>
      <c r="B391" t="s">
        <v>123</v>
      </c>
      <c r="C391">
        <v>35</v>
      </c>
      <c r="D391">
        <v>45.7</v>
      </c>
      <c r="E391">
        <v>1599.5</v>
      </c>
      <c r="F391" s="12">
        <v>45719</v>
      </c>
      <c r="G391" s="12">
        <v>45720</v>
      </c>
      <c r="H391" t="s">
        <v>23</v>
      </c>
      <c r="I391" t="s">
        <v>18</v>
      </c>
      <c r="J391">
        <v>3</v>
      </c>
      <c r="K391" t="s">
        <v>19</v>
      </c>
      <c r="L391" t="s">
        <v>33</v>
      </c>
      <c r="M391">
        <v>1</v>
      </c>
      <c r="N391">
        <v>10</v>
      </c>
      <c r="O391" t="s">
        <v>2531</v>
      </c>
    </row>
    <row r="392" spans="1:15">
      <c r="A392" t="s">
        <v>1746</v>
      </c>
      <c r="B392" t="s">
        <v>32</v>
      </c>
      <c r="C392">
        <v>2</v>
      </c>
      <c r="D392">
        <v>23.6</v>
      </c>
      <c r="E392">
        <v>47.2</v>
      </c>
      <c r="F392" s="12">
        <v>45719</v>
      </c>
      <c r="G392" s="12">
        <v>45722</v>
      </c>
      <c r="H392" t="s">
        <v>23</v>
      </c>
      <c r="I392" t="s">
        <v>18</v>
      </c>
      <c r="J392">
        <v>5</v>
      </c>
      <c r="K392" t="s">
        <v>19</v>
      </c>
      <c r="L392" t="s">
        <v>33</v>
      </c>
      <c r="M392">
        <v>3</v>
      </c>
      <c r="N392">
        <v>10</v>
      </c>
      <c r="O392" t="s">
        <v>2531</v>
      </c>
    </row>
    <row r="393" spans="1:15">
      <c r="A393" t="s">
        <v>1723</v>
      </c>
      <c r="B393" t="s">
        <v>42</v>
      </c>
      <c r="C393">
        <v>2</v>
      </c>
      <c r="D393">
        <v>71.5</v>
      </c>
      <c r="E393">
        <v>143</v>
      </c>
      <c r="F393" s="12">
        <v>45718</v>
      </c>
      <c r="G393" s="12">
        <v>45722</v>
      </c>
      <c r="H393" t="s">
        <v>27</v>
      </c>
      <c r="I393" t="s">
        <v>18</v>
      </c>
      <c r="J393">
        <v>4</v>
      </c>
      <c r="K393" t="s">
        <v>19</v>
      </c>
      <c r="L393" t="s">
        <v>33</v>
      </c>
      <c r="M393">
        <v>4</v>
      </c>
      <c r="N393">
        <v>10</v>
      </c>
      <c r="O393" t="s">
        <v>2530</v>
      </c>
    </row>
    <row r="394" spans="1:15">
      <c r="A394" t="s">
        <v>1722</v>
      </c>
      <c r="B394" t="s">
        <v>54</v>
      </c>
      <c r="C394">
        <v>2</v>
      </c>
      <c r="D394">
        <v>30.4</v>
      </c>
      <c r="E394">
        <v>60.8</v>
      </c>
      <c r="F394" s="12">
        <v>45718</v>
      </c>
      <c r="G394" s="12">
        <v>45720</v>
      </c>
      <c r="H394" t="s">
        <v>23</v>
      </c>
      <c r="I394" t="s">
        <v>40</v>
      </c>
      <c r="J394">
        <v>4</v>
      </c>
      <c r="K394" t="s">
        <v>19</v>
      </c>
      <c r="L394" t="s">
        <v>33</v>
      </c>
      <c r="M394">
        <v>2</v>
      </c>
      <c r="N394">
        <v>10</v>
      </c>
      <c r="O394" t="s">
        <v>2531</v>
      </c>
    </row>
    <row r="395" spans="1:15">
      <c r="A395" t="s">
        <v>1721</v>
      </c>
      <c r="B395" t="s">
        <v>32</v>
      </c>
      <c r="C395">
        <v>6</v>
      </c>
      <c r="D395">
        <v>20.399999999999999</v>
      </c>
      <c r="E395">
        <v>122.39999999999999</v>
      </c>
      <c r="F395" s="12">
        <v>45718</v>
      </c>
      <c r="G395" s="12">
        <v>45719</v>
      </c>
      <c r="H395" t="s">
        <v>23</v>
      </c>
      <c r="I395" t="s">
        <v>40</v>
      </c>
      <c r="J395">
        <v>4</v>
      </c>
      <c r="K395" t="s">
        <v>19</v>
      </c>
      <c r="L395" t="s">
        <v>33</v>
      </c>
      <c r="M395">
        <v>1</v>
      </c>
      <c r="N395">
        <v>10</v>
      </c>
      <c r="O395" t="s">
        <v>2531</v>
      </c>
    </row>
    <row r="396" spans="1:15">
      <c r="A396" t="s">
        <v>1720</v>
      </c>
      <c r="B396" t="s">
        <v>46</v>
      </c>
      <c r="C396">
        <v>27</v>
      </c>
      <c r="D396">
        <v>51</v>
      </c>
      <c r="E396">
        <v>1377</v>
      </c>
      <c r="F396" s="12">
        <v>45718</v>
      </c>
      <c r="G396" s="12">
        <v>45718</v>
      </c>
      <c r="H396" t="s">
        <v>27</v>
      </c>
      <c r="I396" t="s">
        <v>40</v>
      </c>
      <c r="J396">
        <v>4</v>
      </c>
      <c r="K396" t="s">
        <v>19</v>
      </c>
      <c r="L396" t="s">
        <v>33</v>
      </c>
      <c r="M396">
        <v>0</v>
      </c>
      <c r="N396">
        <v>10</v>
      </c>
      <c r="O396" t="s">
        <v>2530</v>
      </c>
    </row>
    <row r="397" spans="1:15">
      <c r="A397" t="s">
        <v>1719</v>
      </c>
      <c r="B397" t="s">
        <v>44</v>
      </c>
      <c r="C397">
        <v>3</v>
      </c>
      <c r="D397">
        <v>45.5</v>
      </c>
      <c r="E397">
        <v>136.5</v>
      </c>
      <c r="F397" s="12">
        <v>45718</v>
      </c>
      <c r="G397" s="12">
        <v>45720</v>
      </c>
      <c r="H397" t="s">
        <v>23</v>
      </c>
      <c r="I397" t="s">
        <v>40</v>
      </c>
      <c r="J397">
        <v>3</v>
      </c>
      <c r="K397" t="s">
        <v>19</v>
      </c>
      <c r="L397" t="s">
        <v>33</v>
      </c>
      <c r="M397">
        <v>2</v>
      </c>
      <c r="N397">
        <v>10</v>
      </c>
      <c r="O397" t="s">
        <v>2531</v>
      </c>
    </row>
    <row r="398" spans="1:15">
      <c r="A398" t="s">
        <v>1718</v>
      </c>
      <c r="B398" t="s">
        <v>39</v>
      </c>
      <c r="C398">
        <v>1</v>
      </c>
      <c r="D398">
        <v>48.3</v>
      </c>
      <c r="E398">
        <v>48.3</v>
      </c>
      <c r="F398" s="12">
        <v>45718</v>
      </c>
      <c r="G398" s="12">
        <v>45732</v>
      </c>
      <c r="H398" t="s">
        <v>89</v>
      </c>
      <c r="I398" t="s">
        <v>18</v>
      </c>
      <c r="J398">
        <v>5</v>
      </c>
      <c r="K398" t="s">
        <v>19</v>
      </c>
      <c r="L398" t="s">
        <v>33</v>
      </c>
      <c r="M398">
        <v>14</v>
      </c>
      <c r="N398">
        <v>10</v>
      </c>
      <c r="O398" t="s">
        <v>2532</v>
      </c>
    </row>
    <row r="399" spans="1:15">
      <c r="A399" t="s">
        <v>1717</v>
      </c>
      <c r="B399" t="s">
        <v>46</v>
      </c>
      <c r="C399">
        <v>1</v>
      </c>
      <c r="D399">
        <v>59.7</v>
      </c>
      <c r="E399">
        <v>59.7</v>
      </c>
      <c r="F399" s="12">
        <v>45718</v>
      </c>
      <c r="G399" s="12">
        <v>45721</v>
      </c>
      <c r="H399" t="s">
        <v>27</v>
      </c>
      <c r="I399" t="s">
        <v>70</v>
      </c>
      <c r="J399">
        <v>4</v>
      </c>
      <c r="K399" t="s">
        <v>19</v>
      </c>
      <c r="L399" t="s">
        <v>33</v>
      </c>
      <c r="M399">
        <v>3</v>
      </c>
      <c r="N399">
        <v>10</v>
      </c>
      <c r="O399" t="s">
        <v>2530</v>
      </c>
    </row>
    <row r="400" spans="1:15">
      <c r="A400" t="s">
        <v>1716</v>
      </c>
      <c r="B400" t="s">
        <v>54</v>
      </c>
      <c r="C400">
        <v>1</v>
      </c>
      <c r="D400">
        <v>39.700000000000003</v>
      </c>
      <c r="E400">
        <v>39.700000000000003</v>
      </c>
      <c r="F400" s="12">
        <v>45718</v>
      </c>
      <c r="G400" s="12">
        <v>45720</v>
      </c>
      <c r="H400" t="s">
        <v>27</v>
      </c>
      <c r="I400" t="s">
        <v>18</v>
      </c>
      <c r="J400">
        <v>3</v>
      </c>
      <c r="K400" t="s">
        <v>19</v>
      </c>
      <c r="L400" t="s">
        <v>33</v>
      </c>
      <c r="M400">
        <v>2</v>
      </c>
      <c r="N400">
        <v>10</v>
      </c>
      <c r="O400" t="s">
        <v>2530</v>
      </c>
    </row>
    <row r="401" spans="1:15">
      <c r="A401" t="s">
        <v>487</v>
      </c>
      <c r="B401" t="s">
        <v>44</v>
      </c>
      <c r="C401">
        <v>8</v>
      </c>
      <c r="D401">
        <v>28.6</v>
      </c>
      <c r="E401">
        <v>228.8</v>
      </c>
      <c r="F401" s="12">
        <v>45675</v>
      </c>
      <c r="G401" s="12">
        <v>45676</v>
      </c>
      <c r="H401" t="s">
        <v>23</v>
      </c>
      <c r="I401" t="s">
        <v>18</v>
      </c>
      <c r="J401">
        <v>4</v>
      </c>
      <c r="K401" t="s">
        <v>19</v>
      </c>
      <c r="L401" t="s">
        <v>33</v>
      </c>
      <c r="M401">
        <v>1</v>
      </c>
      <c r="N401">
        <v>3</v>
      </c>
      <c r="O401" t="s">
        <v>2531</v>
      </c>
    </row>
    <row r="402" spans="1:15">
      <c r="A402" t="s">
        <v>488</v>
      </c>
      <c r="B402" t="s">
        <v>44</v>
      </c>
      <c r="C402">
        <v>6</v>
      </c>
      <c r="D402">
        <v>18.8</v>
      </c>
      <c r="E402">
        <v>112.80000000000001</v>
      </c>
      <c r="F402" s="12">
        <v>45675</v>
      </c>
      <c r="G402" s="12">
        <v>45678</v>
      </c>
      <c r="H402" t="s">
        <v>23</v>
      </c>
      <c r="I402" t="s">
        <v>51</v>
      </c>
      <c r="J402">
        <v>5</v>
      </c>
      <c r="K402" t="s">
        <v>19</v>
      </c>
      <c r="L402" t="s">
        <v>33</v>
      </c>
      <c r="M402">
        <v>3</v>
      </c>
      <c r="N402">
        <v>3</v>
      </c>
      <c r="O402" t="s">
        <v>2531</v>
      </c>
    </row>
    <row r="403" spans="1:15">
      <c r="A403" t="s">
        <v>489</v>
      </c>
      <c r="B403" t="s">
        <v>54</v>
      </c>
      <c r="C403">
        <v>4</v>
      </c>
      <c r="D403">
        <v>35.1</v>
      </c>
      <c r="E403">
        <v>140.4</v>
      </c>
      <c r="F403" s="12">
        <v>45675</v>
      </c>
      <c r="G403" s="12">
        <v>45675</v>
      </c>
      <c r="H403" t="s">
        <v>27</v>
      </c>
      <c r="I403" t="s">
        <v>35</v>
      </c>
      <c r="J403">
        <v>3</v>
      </c>
      <c r="K403" t="s">
        <v>19</v>
      </c>
      <c r="L403" t="s">
        <v>33</v>
      </c>
      <c r="M403">
        <v>0</v>
      </c>
      <c r="N403">
        <v>3</v>
      </c>
      <c r="O403" t="s">
        <v>2530</v>
      </c>
    </row>
    <row r="404" spans="1:15">
      <c r="A404" t="s">
        <v>490</v>
      </c>
      <c r="B404" t="s">
        <v>16</v>
      </c>
      <c r="C404">
        <v>2</v>
      </c>
      <c r="D404">
        <v>12.7</v>
      </c>
      <c r="E404">
        <v>25.4</v>
      </c>
      <c r="F404" s="12">
        <v>45675</v>
      </c>
      <c r="G404" s="12">
        <v>45677</v>
      </c>
      <c r="H404" t="s">
        <v>27</v>
      </c>
      <c r="I404" t="s">
        <v>35</v>
      </c>
      <c r="J404">
        <v>5</v>
      </c>
      <c r="K404" t="s">
        <v>19</v>
      </c>
      <c r="L404" t="s">
        <v>33</v>
      </c>
      <c r="M404">
        <v>2</v>
      </c>
      <c r="N404">
        <v>3</v>
      </c>
      <c r="O404" t="s">
        <v>2530</v>
      </c>
    </row>
    <row r="405" spans="1:15">
      <c r="A405" t="s">
        <v>491</v>
      </c>
      <c r="B405" t="s">
        <v>44</v>
      </c>
      <c r="C405">
        <v>5</v>
      </c>
      <c r="D405">
        <v>27.4</v>
      </c>
      <c r="E405">
        <v>137</v>
      </c>
      <c r="F405" s="12">
        <v>45675</v>
      </c>
      <c r="G405" s="12">
        <v>45677</v>
      </c>
      <c r="H405" t="s">
        <v>89</v>
      </c>
      <c r="I405" t="s">
        <v>18</v>
      </c>
      <c r="J405">
        <v>4</v>
      </c>
      <c r="K405" t="s">
        <v>19</v>
      </c>
      <c r="L405" t="s">
        <v>33</v>
      </c>
      <c r="M405">
        <v>2</v>
      </c>
      <c r="N405">
        <v>3</v>
      </c>
      <c r="O405" t="s">
        <v>2532</v>
      </c>
    </row>
    <row r="406" spans="1:15">
      <c r="A406" t="s">
        <v>1715</v>
      </c>
      <c r="B406" t="s">
        <v>123</v>
      </c>
      <c r="C406">
        <v>5</v>
      </c>
      <c r="D406">
        <v>48.2</v>
      </c>
      <c r="E406">
        <v>241</v>
      </c>
      <c r="F406" s="12">
        <v>45718</v>
      </c>
      <c r="G406" s="12">
        <v>45720</v>
      </c>
      <c r="H406" t="s">
        <v>27</v>
      </c>
      <c r="I406" t="s">
        <v>51</v>
      </c>
      <c r="J406">
        <v>4</v>
      </c>
      <c r="K406" t="s">
        <v>19</v>
      </c>
      <c r="L406" t="s">
        <v>33</v>
      </c>
      <c r="M406">
        <v>2</v>
      </c>
      <c r="N406">
        <v>10</v>
      </c>
      <c r="O406" t="s">
        <v>2530</v>
      </c>
    </row>
    <row r="407" spans="1:15">
      <c r="A407" t="s">
        <v>1714</v>
      </c>
      <c r="B407" t="s">
        <v>26</v>
      </c>
      <c r="C407">
        <v>2</v>
      </c>
      <c r="D407">
        <v>128.80000000000001</v>
      </c>
      <c r="E407">
        <v>257.60000000000002</v>
      </c>
      <c r="F407" s="12">
        <v>45718</v>
      </c>
      <c r="G407" s="12">
        <v>45721</v>
      </c>
      <c r="H407" t="s">
        <v>27</v>
      </c>
      <c r="I407" t="s">
        <v>35</v>
      </c>
      <c r="J407">
        <v>3</v>
      </c>
      <c r="K407" t="s">
        <v>19</v>
      </c>
      <c r="L407" t="s">
        <v>33</v>
      </c>
      <c r="M407">
        <v>3</v>
      </c>
      <c r="N407">
        <v>10</v>
      </c>
      <c r="O407" t="s">
        <v>2530</v>
      </c>
    </row>
    <row r="408" spans="1:15">
      <c r="A408" t="s">
        <v>1713</v>
      </c>
      <c r="B408" t="s">
        <v>69</v>
      </c>
      <c r="C408">
        <v>4</v>
      </c>
      <c r="D408">
        <v>68.8</v>
      </c>
      <c r="E408">
        <v>275.2</v>
      </c>
      <c r="F408" s="12">
        <v>45717</v>
      </c>
      <c r="G408" s="12">
        <v>45721</v>
      </c>
      <c r="H408" t="s">
        <v>27</v>
      </c>
      <c r="I408" t="s">
        <v>70</v>
      </c>
      <c r="J408">
        <v>5</v>
      </c>
      <c r="K408" t="s">
        <v>19</v>
      </c>
      <c r="L408" t="s">
        <v>33</v>
      </c>
      <c r="M408">
        <v>4</v>
      </c>
      <c r="N408">
        <v>9</v>
      </c>
      <c r="O408" t="s">
        <v>2530</v>
      </c>
    </row>
    <row r="409" spans="1:15">
      <c r="A409" t="s">
        <v>1712</v>
      </c>
      <c r="B409" t="s">
        <v>39</v>
      </c>
      <c r="C409">
        <v>5</v>
      </c>
      <c r="D409">
        <v>52.3</v>
      </c>
      <c r="E409">
        <v>261.5</v>
      </c>
      <c r="F409" s="12">
        <v>45717</v>
      </c>
      <c r="G409" s="12">
        <v>45718</v>
      </c>
      <c r="H409" t="s">
        <v>23</v>
      </c>
      <c r="I409" t="s">
        <v>40</v>
      </c>
      <c r="J409">
        <v>4</v>
      </c>
      <c r="K409" t="s">
        <v>19</v>
      </c>
      <c r="L409" t="s">
        <v>33</v>
      </c>
      <c r="M409">
        <v>1</v>
      </c>
      <c r="N409">
        <v>9</v>
      </c>
      <c r="O409" t="s">
        <v>2531</v>
      </c>
    </row>
    <row r="410" spans="1:15">
      <c r="A410" t="s">
        <v>1692</v>
      </c>
      <c r="B410" t="s">
        <v>37</v>
      </c>
      <c r="C410">
        <v>3</v>
      </c>
      <c r="D410">
        <v>55.6</v>
      </c>
      <c r="E410">
        <v>166.8</v>
      </c>
      <c r="F410" s="12">
        <v>45717</v>
      </c>
      <c r="G410" s="12">
        <v>45730</v>
      </c>
      <c r="H410" t="s">
        <v>27</v>
      </c>
      <c r="I410" t="s">
        <v>18</v>
      </c>
      <c r="J410">
        <v>4</v>
      </c>
      <c r="K410" t="s">
        <v>19</v>
      </c>
      <c r="L410" t="s">
        <v>33</v>
      </c>
      <c r="M410">
        <v>13</v>
      </c>
      <c r="N410">
        <v>9</v>
      </c>
      <c r="O410" t="s">
        <v>2530</v>
      </c>
    </row>
    <row r="411" spans="1:15">
      <c r="A411" t="s">
        <v>1691</v>
      </c>
      <c r="B411" t="s">
        <v>54</v>
      </c>
      <c r="C411">
        <v>7</v>
      </c>
      <c r="D411">
        <v>32.6</v>
      </c>
      <c r="E411">
        <v>228.20000000000002</v>
      </c>
      <c r="F411" s="12">
        <v>45716</v>
      </c>
      <c r="G411" s="12">
        <v>45718</v>
      </c>
      <c r="H411" t="s">
        <v>27</v>
      </c>
      <c r="I411" t="s">
        <v>18</v>
      </c>
      <c r="J411">
        <v>3</v>
      </c>
      <c r="K411" t="s">
        <v>19</v>
      </c>
      <c r="L411" t="s">
        <v>33</v>
      </c>
      <c r="M411">
        <v>2</v>
      </c>
      <c r="N411">
        <v>9</v>
      </c>
      <c r="O411" t="s">
        <v>2530</v>
      </c>
    </row>
    <row r="412" spans="1:15">
      <c r="A412" t="s">
        <v>1690</v>
      </c>
      <c r="B412" t="s">
        <v>39</v>
      </c>
      <c r="C412">
        <v>3</v>
      </c>
      <c r="D412">
        <v>110.5</v>
      </c>
      <c r="E412">
        <v>331.5</v>
      </c>
      <c r="F412" s="12">
        <v>45716</v>
      </c>
      <c r="G412" s="12">
        <v>45717</v>
      </c>
      <c r="H412" t="s">
        <v>27</v>
      </c>
      <c r="I412" t="s">
        <v>18</v>
      </c>
      <c r="J412">
        <v>1</v>
      </c>
      <c r="K412" t="s">
        <v>19</v>
      </c>
      <c r="L412" t="s">
        <v>33</v>
      </c>
      <c r="M412">
        <v>1</v>
      </c>
      <c r="N412">
        <v>9</v>
      </c>
      <c r="O412" t="s">
        <v>2530</v>
      </c>
    </row>
    <row r="413" spans="1:15">
      <c r="A413" t="s">
        <v>1689</v>
      </c>
      <c r="B413" t="s">
        <v>44</v>
      </c>
      <c r="C413">
        <v>1</v>
      </c>
      <c r="D413">
        <v>36.299999999999997</v>
      </c>
      <c r="E413">
        <v>36.299999999999997</v>
      </c>
      <c r="F413" s="12">
        <v>45716</v>
      </c>
      <c r="G413" s="12">
        <v>45718</v>
      </c>
      <c r="H413" t="s">
        <v>89</v>
      </c>
      <c r="I413" t="s">
        <v>70</v>
      </c>
      <c r="J413">
        <v>4</v>
      </c>
      <c r="K413" t="s">
        <v>19</v>
      </c>
      <c r="L413" t="s">
        <v>33</v>
      </c>
      <c r="M413">
        <v>2</v>
      </c>
      <c r="N413">
        <v>9</v>
      </c>
      <c r="O413" t="s">
        <v>2532</v>
      </c>
    </row>
    <row r="414" spans="1:15">
      <c r="A414" t="s">
        <v>1688</v>
      </c>
      <c r="B414" t="s">
        <v>44</v>
      </c>
      <c r="C414">
        <v>3</v>
      </c>
      <c r="D414">
        <v>21.3</v>
      </c>
      <c r="E414">
        <v>63.900000000000006</v>
      </c>
      <c r="F414" s="12">
        <v>45716</v>
      </c>
      <c r="G414" s="12">
        <v>45717</v>
      </c>
      <c r="H414" t="s">
        <v>23</v>
      </c>
      <c r="I414" t="s">
        <v>18</v>
      </c>
      <c r="J414">
        <v>5</v>
      </c>
      <c r="K414" t="s">
        <v>19</v>
      </c>
      <c r="L414" t="s">
        <v>33</v>
      </c>
      <c r="M414">
        <v>1</v>
      </c>
      <c r="N414">
        <v>9</v>
      </c>
      <c r="O414" t="s">
        <v>2531</v>
      </c>
    </row>
    <row r="415" spans="1:15">
      <c r="A415" t="s">
        <v>1687</v>
      </c>
      <c r="B415" t="s">
        <v>16</v>
      </c>
      <c r="C415">
        <v>8</v>
      </c>
      <c r="D415">
        <v>31.9</v>
      </c>
      <c r="E415">
        <v>255.2</v>
      </c>
      <c r="F415" s="12">
        <v>45716</v>
      </c>
      <c r="G415" s="12">
        <v>45717</v>
      </c>
      <c r="H415" t="s">
        <v>27</v>
      </c>
      <c r="I415" t="s">
        <v>70</v>
      </c>
      <c r="J415">
        <v>4</v>
      </c>
      <c r="K415" t="s">
        <v>19</v>
      </c>
      <c r="L415" t="s">
        <v>33</v>
      </c>
      <c r="M415">
        <v>1</v>
      </c>
      <c r="N415">
        <v>9</v>
      </c>
      <c r="O415" t="s">
        <v>2530</v>
      </c>
    </row>
    <row r="416" spans="1:15">
      <c r="A416" t="s">
        <v>1670</v>
      </c>
      <c r="B416" t="s">
        <v>46</v>
      </c>
      <c r="C416">
        <v>3</v>
      </c>
      <c r="D416">
        <v>44.2</v>
      </c>
      <c r="E416">
        <v>132.60000000000002</v>
      </c>
      <c r="F416" s="12">
        <v>45716</v>
      </c>
      <c r="G416" s="12">
        <v>45720</v>
      </c>
      <c r="H416" t="s">
        <v>23</v>
      </c>
      <c r="I416" t="s">
        <v>40</v>
      </c>
      <c r="J416">
        <v>5</v>
      </c>
      <c r="K416" t="s">
        <v>19</v>
      </c>
      <c r="L416" t="s">
        <v>33</v>
      </c>
      <c r="M416">
        <v>4</v>
      </c>
      <c r="N416">
        <v>9</v>
      </c>
      <c r="O416" t="s">
        <v>2531</v>
      </c>
    </row>
    <row r="417" spans="1:15">
      <c r="A417" t="s">
        <v>503</v>
      </c>
      <c r="B417" t="s">
        <v>146</v>
      </c>
      <c r="C417">
        <v>2</v>
      </c>
      <c r="D417">
        <v>89</v>
      </c>
      <c r="E417">
        <v>178</v>
      </c>
      <c r="F417" s="12">
        <v>45676</v>
      </c>
      <c r="G417" s="12">
        <v>45678</v>
      </c>
      <c r="H417" t="s">
        <v>27</v>
      </c>
      <c r="I417" t="s">
        <v>18</v>
      </c>
      <c r="J417">
        <v>4</v>
      </c>
      <c r="K417" t="s">
        <v>19</v>
      </c>
      <c r="L417" t="s">
        <v>33</v>
      </c>
      <c r="M417">
        <v>2</v>
      </c>
      <c r="N417">
        <v>4</v>
      </c>
      <c r="O417" t="s">
        <v>2530</v>
      </c>
    </row>
    <row r="418" spans="1:15">
      <c r="A418" t="s">
        <v>504</v>
      </c>
      <c r="B418" t="s">
        <v>128</v>
      </c>
      <c r="C418">
        <v>3</v>
      </c>
      <c r="D418">
        <v>36.6</v>
      </c>
      <c r="E418">
        <v>109.80000000000001</v>
      </c>
      <c r="F418" s="12">
        <v>45676</v>
      </c>
      <c r="G418" s="12">
        <v>45677</v>
      </c>
      <c r="H418" t="s">
        <v>89</v>
      </c>
      <c r="I418" t="s">
        <v>51</v>
      </c>
      <c r="J418">
        <v>5</v>
      </c>
      <c r="K418" t="s">
        <v>19</v>
      </c>
      <c r="L418" t="s">
        <v>33</v>
      </c>
      <c r="M418">
        <v>1</v>
      </c>
      <c r="N418">
        <v>4</v>
      </c>
      <c r="O418" t="s">
        <v>2532</v>
      </c>
    </row>
    <row r="419" spans="1:15">
      <c r="A419" t="s">
        <v>505</v>
      </c>
      <c r="B419" t="s">
        <v>39</v>
      </c>
      <c r="C419">
        <v>7</v>
      </c>
      <c r="D419">
        <v>43.5</v>
      </c>
      <c r="E419">
        <v>304.5</v>
      </c>
      <c r="F419" s="12">
        <v>45676</v>
      </c>
      <c r="G419" s="12">
        <v>45677</v>
      </c>
      <c r="H419" t="s">
        <v>23</v>
      </c>
      <c r="I419" t="s">
        <v>35</v>
      </c>
      <c r="J419">
        <v>5</v>
      </c>
      <c r="K419" t="s">
        <v>19</v>
      </c>
      <c r="L419" t="s">
        <v>33</v>
      </c>
      <c r="M419">
        <v>1</v>
      </c>
      <c r="N419">
        <v>4</v>
      </c>
      <c r="O419" t="s">
        <v>2531</v>
      </c>
    </row>
    <row r="420" spans="1:15">
      <c r="A420" t="s">
        <v>506</v>
      </c>
      <c r="B420" t="s">
        <v>46</v>
      </c>
      <c r="C420">
        <v>19</v>
      </c>
      <c r="D420">
        <v>30.5</v>
      </c>
      <c r="E420">
        <v>579.5</v>
      </c>
      <c r="F420" s="12">
        <v>45676</v>
      </c>
      <c r="G420" s="12">
        <v>45676</v>
      </c>
      <c r="H420" t="s">
        <v>27</v>
      </c>
      <c r="I420" t="s">
        <v>51</v>
      </c>
      <c r="J420">
        <v>4</v>
      </c>
      <c r="K420" t="s">
        <v>19</v>
      </c>
      <c r="L420" t="s">
        <v>33</v>
      </c>
      <c r="M420">
        <v>0</v>
      </c>
      <c r="N420">
        <v>4</v>
      </c>
      <c r="O420" t="s">
        <v>2530</v>
      </c>
    </row>
    <row r="421" spans="1:15">
      <c r="A421" t="s">
        <v>507</v>
      </c>
      <c r="B421" t="s">
        <v>22</v>
      </c>
      <c r="C421">
        <v>2</v>
      </c>
      <c r="D421">
        <v>107.7</v>
      </c>
      <c r="E421">
        <v>215.4</v>
      </c>
      <c r="F421" s="12">
        <v>45676</v>
      </c>
      <c r="G421" s="12">
        <v>45680</v>
      </c>
      <c r="H421" t="s">
        <v>23</v>
      </c>
      <c r="I421" t="s">
        <v>51</v>
      </c>
      <c r="J421">
        <v>2</v>
      </c>
      <c r="K421" t="s">
        <v>19</v>
      </c>
      <c r="L421" t="s">
        <v>33</v>
      </c>
      <c r="M421">
        <v>4</v>
      </c>
      <c r="N421">
        <v>4</v>
      </c>
      <c r="O421" t="s">
        <v>2531</v>
      </c>
    </row>
    <row r="422" spans="1:15">
      <c r="A422" t="s">
        <v>508</v>
      </c>
      <c r="B422" t="s">
        <v>135</v>
      </c>
      <c r="C422">
        <v>26</v>
      </c>
      <c r="D422">
        <v>57.1</v>
      </c>
      <c r="E422">
        <v>1484.6000000000001</v>
      </c>
      <c r="F422" s="12">
        <v>45676</v>
      </c>
      <c r="G422" s="12">
        <v>45677</v>
      </c>
      <c r="H422" t="s">
        <v>23</v>
      </c>
      <c r="I422" t="s">
        <v>35</v>
      </c>
      <c r="J422">
        <v>4</v>
      </c>
      <c r="K422" t="s">
        <v>19</v>
      </c>
      <c r="L422" t="s">
        <v>33</v>
      </c>
      <c r="M422">
        <v>1</v>
      </c>
      <c r="N422">
        <v>4</v>
      </c>
      <c r="O422" t="s">
        <v>2531</v>
      </c>
    </row>
    <row r="423" spans="1:15">
      <c r="A423" t="s">
        <v>509</v>
      </c>
      <c r="B423" t="s">
        <v>26</v>
      </c>
      <c r="C423">
        <v>10</v>
      </c>
      <c r="D423">
        <v>111.7</v>
      </c>
      <c r="E423">
        <v>1117</v>
      </c>
      <c r="F423" s="12">
        <v>45676</v>
      </c>
      <c r="G423" s="12">
        <v>45677</v>
      </c>
      <c r="H423" t="s">
        <v>27</v>
      </c>
      <c r="I423" t="s">
        <v>70</v>
      </c>
      <c r="J423">
        <v>5</v>
      </c>
      <c r="K423" t="s">
        <v>19</v>
      </c>
      <c r="L423" t="s">
        <v>33</v>
      </c>
      <c r="M423">
        <v>1</v>
      </c>
      <c r="N423">
        <v>4</v>
      </c>
      <c r="O423" t="s">
        <v>2530</v>
      </c>
    </row>
    <row r="424" spans="1:15">
      <c r="A424" t="s">
        <v>510</v>
      </c>
      <c r="B424" t="s">
        <v>146</v>
      </c>
      <c r="C424">
        <v>7</v>
      </c>
      <c r="D424">
        <v>44.3</v>
      </c>
      <c r="E424">
        <v>310.09999999999997</v>
      </c>
      <c r="F424" s="12">
        <v>45676</v>
      </c>
      <c r="G424" s="12">
        <v>45679</v>
      </c>
      <c r="H424" t="s">
        <v>23</v>
      </c>
      <c r="I424" t="s">
        <v>51</v>
      </c>
      <c r="J424">
        <v>5</v>
      </c>
      <c r="K424" t="s">
        <v>19</v>
      </c>
      <c r="L424" t="s">
        <v>33</v>
      </c>
      <c r="M424">
        <v>3</v>
      </c>
      <c r="N424">
        <v>4</v>
      </c>
      <c r="O424" t="s">
        <v>2531</v>
      </c>
    </row>
    <row r="425" spans="1:15">
      <c r="A425" t="s">
        <v>511</v>
      </c>
      <c r="B425" t="s">
        <v>26</v>
      </c>
      <c r="C425">
        <v>8</v>
      </c>
      <c r="D425">
        <v>95.8</v>
      </c>
      <c r="E425">
        <v>766.4</v>
      </c>
      <c r="F425" s="12">
        <v>45676</v>
      </c>
      <c r="G425" s="12">
        <v>45682</v>
      </c>
      <c r="H425" t="s">
        <v>89</v>
      </c>
      <c r="I425" t="s">
        <v>18</v>
      </c>
      <c r="J425">
        <v>4</v>
      </c>
      <c r="K425" t="s">
        <v>19</v>
      </c>
      <c r="L425" t="s">
        <v>33</v>
      </c>
      <c r="M425">
        <v>6</v>
      </c>
      <c r="N425">
        <v>4</v>
      </c>
      <c r="O425" t="s">
        <v>2532</v>
      </c>
    </row>
    <row r="426" spans="1:15">
      <c r="A426" t="s">
        <v>512</v>
      </c>
      <c r="B426" t="s">
        <v>54</v>
      </c>
      <c r="C426">
        <v>7</v>
      </c>
      <c r="D426">
        <v>22.6</v>
      </c>
      <c r="E426">
        <v>158.20000000000002</v>
      </c>
      <c r="F426" s="12">
        <v>45676</v>
      </c>
      <c r="G426" s="12">
        <v>45679</v>
      </c>
      <c r="H426" t="s">
        <v>27</v>
      </c>
      <c r="I426" t="s">
        <v>51</v>
      </c>
      <c r="J426">
        <v>3</v>
      </c>
      <c r="K426" t="s">
        <v>19</v>
      </c>
      <c r="L426" t="s">
        <v>33</v>
      </c>
      <c r="M426">
        <v>3</v>
      </c>
      <c r="N426">
        <v>4</v>
      </c>
      <c r="O426" t="s">
        <v>2530</v>
      </c>
    </row>
    <row r="427" spans="1:15">
      <c r="A427" t="s">
        <v>513</v>
      </c>
      <c r="B427" t="s">
        <v>44</v>
      </c>
      <c r="C427">
        <v>8</v>
      </c>
      <c r="D427">
        <v>25.6</v>
      </c>
      <c r="E427">
        <v>204.8</v>
      </c>
      <c r="F427" s="12">
        <v>45676</v>
      </c>
      <c r="G427" s="12">
        <v>45678</v>
      </c>
      <c r="H427" t="s">
        <v>27</v>
      </c>
      <c r="I427" t="s">
        <v>70</v>
      </c>
      <c r="J427">
        <v>4</v>
      </c>
      <c r="K427" t="s">
        <v>19</v>
      </c>
      <c r="L427" t="s">
        <v>33</v>
      </c>
      <c r="M427">
        <v>2</v>
      </c>
      <c r="N427">
        <v>4</v>
      </c>
      <c r="O427" t="s">
        <v>2530</v>
      </c>
    </row>
    <row r="428" spans="1:15">
      <c r="A428" t="s">
        <v>514</v>
      </c>
      <c r="B428" t="s">
        <v>39</v>
      </c>
      <c r="C428">
        <v>16</v>
      </c>
      <c r="D428">
        <v>54.3</v>
      </c>
      <c r="E428">
        <v>868.8</v>
      </c>
      <c r="F428" s="12">
        <v>45676</v>
      </c>
      <c r="G428" s="12">
        <v>45679</v>
      </c>
      <c r="H428" t="s">
        <v>27</v>
      </c>
      <c r="I428" t="s">
        <v>70</v>
      </c>
      <c r="J428">
        <v>4</v>
      </c>
      <c r="K428" t="s">
        <v>19</v>
      </c>
      <c r="L428" t="s">
        <v>33</v>
      </c>
      <c r="M428">
        <v>3</v>
      </c>
      <c r="N428">
        <v>4</v>
      </c>
      <c r="O428" t="s">
        <v>2530</v>
      </c>
    </row>
    <row r="429" spans="1:15">
      <c r="A429" t="s">
        <v>515</v>
      </c>
      <c r="B429" t="s">
        <v>146</v>
      </c>
      <c r="C429">
        <v>13</v>
      </c>
      <c r="D429">
        <v>51.3</v>
      </c>
      <c r="E429">
        <v>666.9</v>
      </c>
      <c r="F429" s="12">
        <v>45676</v>
      </c>
      <c r="G429" s="12">
        <v>45678</v>
      </c>
      <c r="H429" t="s">
        <v>23</v>
      </c>
      <c r="I429" t="s">
        <v>18</v>
      </c>
      <c r="J429">
        <v>5</v>
      </c>
      <c r="K429" t="s">
        <v>19</v>
      </c>
      <c r="L429" t="s">
        <v>33</v>
      </c>
      <c r="M429">
        <v>2</v>
      </c>
      <c r="N429">
        <v>4</v>
      </c>
      <c r="O429" t="s">
        <v>2531</v>
      </c>
    </row>
    <row r="430" spans="1:15">
      <c r="A430" t="s">
        <v>516</v>
      </c>
      <c r="B430" t="s">
        <v>16</v>
      </c>
      <c r="C430">
        <v>8</v>
      </c>
      <c r="D430">
        <v>25.6</v>
      </c>
      <c r="E430">
        <v>204.8</v>
      </c>
      <c r="F430" s="12">
        <v>45676</v>
      </c>
      <c r="G430" s="12">
        <v>45677</v>
      </c>
      <c r="H430" t="s">
        <v>27</v>
      </c>
      <c r="I430" t="s">
        <v>35</v>
      </c>
      <c r="J430">
        <v>3</v>
      </c>
      <c r="K430" t="s">
        <v>19</v>
      </c>
      <c r="L430" t="s">
        <v>33</v>
      </c>
      <c r="M430">
        <v>1</v>
      </c>
      <c r="N430">
        <v>4</v>
      </c>
      <c r="O430" t="s">
        <v>2530</v>
      </c>
    </row>
    <row r="431" spans="1:15">
      <c r="A431" t="s">
        <v>517</v>
      </c>
      <c r="B431" t="s">
        <v>16</v>
      </c>
      <c r="C431">
        <v>2</v>
      </c>
      <c r="D431">
        <v>15.6</v>
      </c>
      <c r="E431">
        <v>31.2</v>
      </c>
      <c r="F431" s="12">
        <v>45676</v>
      </c>
      <c r="G431" s="12">
        <v>45677</v>
      </c>
      <c r="H431" t="s">
        <v>27</v>
      </c>
      <c r="I431" t="s">
        <v>40</v>
      </c>
      <c r="J431">
        <v>5</v>
      </c>
      <c r="K431" t="s">
        <v>19</v>
      </c>
      <c r="L431" t="s">
        <v>33</v>
      </c>
      <c r="M431">
        <v>1</v>
      </c>
      <c r="N431">
        <v>4</v>
      </c>
      <c r="O431" t="s">
        <v>2530</v>
      </c>
    </row>
    <row r="432" spans="1:15">
      <c r="A432" t="s">
        <v>518</v>
      </c>
      <c r="B432" t="s">
        <v>44</v>
      </c>
      <c r="C432">
        <v>3</v>
      </c>
      <c r="D432">
        <v>30.3</v>
      </c>
      <c r="E432">
        <v>90.9</v>
      </c>
      <c r="F432" s="12">
        <v>45676</v>
      </c>
      <c r="G432" s="12">
        <v>45680</v>
      </c>
      <c r="H432" t="s">
        <v>27</v>
      </c>
      <c r="I432" t="s">
        <v>18</v>
      </c>
      <c r="J432">
        <v>3</v>
      </c>
      <c r="K432" t="s">
        <v>19</v>
      </c>
      <c r="L432" t="s">
        <v>33</v>
      </c>
      <c r="M432">
        <v>4</v>
      </c>
      <c r="N432">
        <v>4</v>
      </c>
      <c r="O432" t="s">
        <v>2530</v>
      </c>
    </row>
    <row r="433" spans="1:15">
      <c r="A433" t="s">
        <v>1669</v>
      </c>
      <c r="B433" t="s">
        <v>44</v>
      </c>
      <c r="C433">
        <v>5</v>
      </c>
      <c r="D433">
        <v>44.8</v>
      </c>
      <c r="E433">
        <v>224</v>
      </c>
      <c r="F433" s="12">
        <v>45716</v>
      </c>
      <c r="G433" s="12">
        <v>45717</v>
      </c>
      <c r="H433" t="s">
        <v>27</v>
      </c>
      <c r="I433" t="s">
        <v>51</v>
      </c>
      <c r="J433">
        <v>5</v>
      </c>
      <c r="K433" t="s">
        <v>19</v>
      </c>
      <c r="L433" t="s">
        <v>33</v>
      </c>
      <c r="M433">
        <v>1</v>
      </c>
      <c r="N433">
        <v>9</v>
      </c>
      <c r="O433" t="s">
        <v>2530</v>
      </c>
    </row>
    <row r="434" spans="1:15">
      <c r="A434" t="s">
        <v>1668</v>
      </c>
      <c r="B434" t="s">
        <v>42</v>
      </c>
      <c r="C434">
        <v>5</v>
      </c>
      <c r="D434">
        <v>57.9</v>
      </c>
      <c r="E434">
        <v>289.5</v>
      </c>
      <c r="F434" s="12">
        <v>45716</v>
      </c>
      <c r="G434" s="12">
        <v>45718</v>
      </c>
      <c r="H434" t="s">
        <v>23</v>
      </c>
      <c r="I434" t="s">
        <v>40</v>
      </c>
      <c r="J434">
        <v>5</v>
      </c>
      <c r="K434" t="s">
        <v>19</v>
      </c>
      <c r="L434" t="s">
        <v>33</v>
      </c>
      <c r="M434">
        <v>2</v>
      </c>
      <c r="N434">
        <v>9</v>
      </c>
      <c r="O434" t="s">
        <v>2531</v>
      </c>
    </row>
    <row r="435" spans="1:15">
      <c r="A435" t="s">
        <v>1667</v>
      </c>
      <c r="B435" t="s">
        <v>22</v>
      </c>
      <c r="C435">
        <v>2</v>
      </c>
      <c r="D435">
        <v>75.8</v>
      </c>
      <c r="E435">
        <v>151.6</v>
      </c>
      <c r="F435" s="12">
        <v>45716</v>
      </c>
      <c r="G435" s="12">
        <v>45717</v>
      </c>
      <c r="H435" t="s">
        <v>27</v>
      </c>
      <c r="I435" t="s">
        <v>40</v>
      </c>
      <c r="J435">
        <v>3</v>
      </c>
      <c r="K435" t="s">
        <v>19</v>
      </c>
      <c r="L435" t="s">
        <v>33</v>
      </c>
      <c r="M435">
        <v>1</v>
      </c>
      <c r="N435">
        <v>9</v>
      </c>
      <c r="O435" t="s">
        <v>2530</v>
      </c>
    </row>
    <row r="436" spans="1:15">
      <c r="A436" t="s">
        <v>1666</v>
      </c>
      <c r="B436" t="s">
        <v>26</v>
      </c>
      <c r="C436">
        <v>9</v>
      </c>
      <c r="D436">
        <v>90.9</v>
      </c>
      <c r="E436">
        <v>818.1</v>
      </c>
      <c r="F436" s="12">
        <v>45716</v>
      </c>
      <c r="G436" s="12">
        <v>45717</v>
      </c>
      <c r="H436" t="s">
        <v>23</v>
      </c>
      <c r="I436" t="s">
        <v>18</v>
      </c>
      <c r="J436">
        <v>5</v>
      </c>
      <c r="K436" t="s">
        <v>19</v>
      </c>
      <c r="L436" t="s">
        <v>33</v>
      </c>
      <c r="M436">
        <v>1</v>
      </c>
      <c r="N436">
        <v>9</v>
      </c>
      <c r="O436" t="s">
        <v>2531</v>
      </c>
    </row>
    <row r="437" spans="1:15">
      <c r="A437" t="s">
        <v>1665</v>
      </c>
      <c r="B437" t="s">
        <v>39</v>
      </c>
      <c r="C437">
        <v>1</v>
      </c>
      <c r="D437">
        <v>144.69999999999999</v>
      </c>
      <c r="E437">
        <v>144.69999999999999</v>
      </c>
      <c r="F437" s="12">
        <v>45716</v>
      </c>
      <c r="G437" s="12">
        <v>45719</v>
      </c>
      <c r="H437" t="s">
        <v>23</v>
      </c>
      <c r="I437" t="s">
        <v>18</v>
      </c>
      <c r="J437">
        <v>5</v>
      </c>
      <c r="K437" t="s">
        <v>19</v>
      </c>
      <c r="L437" t="s">
        <v>33</v>
      </c>
      <c r="M437">
        <v>3</v>
      </c>
      <c r="N437">
        <v>9</v>
      </c>
      <c r="O437" t="s">
        <v>2531</v>
      </c>
    </row>
    <row r="438" spans="1:15">
      <c r="A438" t="s">
        <v>1645</v>
      </c>
      <c r="B438" t="s">
        <v>46</v>
      </c>
      <c r="C438">
        <v>2</v>
      </c>
      <c r="D438">
        <v>59.2</v>
      </c>
      <c r="E438">
        <v>118.4</v>
      </c>
      <c r="F438" s="12">
        <v>45715</v>
      </c>
      <c r="G438" s="12">
        <v>45715</v>
      </c>
      <c r="H438" t="s">
        <v>27</v>
      </c>
      <c r="I438" t="s">
        <v>35</v>
      </c>
      <c r="J438">
        <v>2</v>
      </c>
      <c r="K438" t="s">
        <v>19</v>
      </c>
      <c r="L438" t="s">
        <v>33</v>
      </c>
      <c r="M438">
        <v>0</v>
      </c>
      <c r="N438">
        <v>9</v>
      </c>
      <c r="O438" t="s">
        <v>2530</v>
      </c>
    </row>
    <row r="439" spans="1:15">
      <c r="A439" t="s">
        <v>1644</v>
      </c>
      <c r="B439" t="s">
        <v>30</v>
      </c>
      <c r="C439">
        <v>1</v>
      </c>
      <c r="D439">
        <v>44.2</v>
      </c>
      <c r="E439">
        <v>44.2</v>
      </c>
      <c r="F439" s="12">
        <v>45715</v>
      </c>
      <c r="G439" s="12">
        <v>45718</v>
      </c>
      <c r="H439" t="s">
        <v>27</v>
      </c>
      <c r="I439" t="s">
        <v>35</v>
      </c>
      <c r="J439">
        <v>4</v>
      </c>
      <c r="K439" t="s">
        <v>19</v>
      </c>
      <c r="L439" t="s">
        <v>33</v>
      </c>
      <c r="M439">
        <v>3</v>
      </c>
      <c r="N439">
        <v>9</v>
      </c>
      <c r="O439" t="s">
        <v>2530</v>
      </c>
    </row>
    <row r="440" spans="1:15">
      <c r="A440" t="s">
        <v>1643</v>
      </c>
      <c r="B440" t="s">
        <v>146</v>
      </c>
      <c r="C440">
        <v>5</v>
      </c>
      <c r="D440">
        <v>26.2</v>
      </c>
      <c r="E440">
        <v>131</v>
      </c>
      <c r="F440" s="12">
        <v>45715</v>
      </c>
      <c r="G440" s="12">
        <v>45718</v>
      </c>
      <c r="H440" t="s">
        <v>23</v>
      </c>
      <c r="I440" t="s">
        <v>51</v>
      </c>
      <c r="J440">
        <v>2</v>
      </c>
      <c r="K440" t="s">
        <v>19</v>
      </c>
      <c r="L440" t="s">
        <v>33</v>
      </c>
      <c r="M440">
        <v>3</v>
      </c>
      <c r="N440">
        <v>9</v>
      </c>
      <c r="O440" t="s">
        <v>2531</v>
      </c>
    </row>
    <row r="441" spans="1:15">
      <c r="A441" t="s">
        <v>1642</v>
      </c>
      <c r="B441" t="s">
        <v>54</v>
      </c>
      <c r="C441">
        <v>4</v>
      </c>
      <c r="D441">
        <v>59.5</v>
      </c>
      <c r="E441">
        <v>238</v>
      </c>
      <c r="F441" s="12">
        <v>45715</v>
      </c>
      <c r="G441" s="12">
        <v>45716</v>
      </c>
      <c r="H441" t="s">
        <v>23</v>
      </c>
      <c r="I441" t="s">
        <v>35</v>
      </c>
      <c r="J441">
        <v>5</v>
      </c>
      <c r="K441" t="s">
        <v>19</v>
      </c>
      <c r="L441" t="s">
        <v>33</v>
      </c>
      <c r="M441">
        <v>1</v>
      </c>
      <c r="N441">
        <v>9</v>
      </c>
      <c r="O441" t="s">
        <v>2531</v>
      </c>
    </row>
    <row r="442" spans="1:15">
      <c r="A442" t="s">
        <v>1641</v>
      </c>
      <c r="B442" t="s">
        <v>16</v>
      </c>
      <c r="C442">
        <v>3</v>
      </c>
      <c r="D442">
        <v>16.2</v>
      </c>
      <c r="E442">
        <v>48.599999999999994</v>
      </c>
      <c r="F442" s="12">
        <v>45715</v>
      </c>
      <c r="G442" s="12">
        <v>45715</v>
      </c>
      <c r="H442" t="s">
        <v>23</v>
      </c>
      <c r="I442" t="s">
        <v>70</v>
      </c>
      <c r="J442">
        <v>5</v>
      </c>
      <c r="K442" t="s">
        <v>19</v>
      </c>
      <c r="L442" t="s">
        <v>33</v>
      </c>
      <c r="M442">
        <v>0</v>
      </c>
      <c r="N442">
        <v>9</v>
      </c>
      <c r="O442" t="s">
        <v>2531</v>
      </c>
    </row>
    <row r="443" spans="1:15">
      <c r="A443" t="s">
        <v>1618</v>
      </c>
      <c r="B443" t="s">
        <v>26</v>
      </c>
      <c r="C443">
        <v>2</v>
      </c>
      <c r="D443">
        <v>121</v>
      </c>
      <c r="E443">
        <v>242</v>
      </c>
      <c r="F443" s="12">
        <v>45714</v>
      </c>
      <c r="G443" s="12">
        <v>45715</v>
      </c>
      <c r="H443" t="s">
        <v>27</v>
      </c>
      <c r="I443" t="s">
        <v>35</v>
      </c>
      <c r="J443">
        <v>3</v>
      </c>
      <c r="K443" t="s">
        <v>19</v>
      </c>
      <c r="L443" t="s">
        <v>33</v>
      </c>
      <c r="M443">
        <v>1</v>
      </c>
      <c r="N443">
        <v>9</v>
      </c>
      <c r="O443" t="s">
        <v>2530</v>
      </c>
    </row>
    <row r="444" spans="1:15">
      <c r="A444" t="s">
        <v>1617</v>
      </c>
      <c r="B444" t="s">
        <v>46</v>
      </c>
      <c r="C444">
        <v>5</v>
      </c>
      <c r="D444">
        <v>35</v>
      </c>
      <c r="E444">
        <v>175</v>
      </c>
      <c r="F444" s="12">
        <v>45714</v>
      </c>
      <c r="G444" s="12">
        <v>45716</v>
      </c>
      <c r="H444" t="s">
        <v>23</v>
      </c>
      <c r="I444" t="s">
        <v>18</v>
      </c>
      <c r="J444">
        <v>4</v>
      </c>
      <c r="K444" t="s">
        <v>19</v>
      </c>
      <c r="L444" t="s">
        <v>33</v>
      </c>
      <c r="M444">
        <v>2</v>
      </c>
      <c r="N444">
        <v>9</v>
      </c>
      <c r="O444" t="s">
        <v>2531</v>
      </c>
    </row>
    <row r="445" spans="1:15">
      <c r="A445" t="s">
        <v>1616</v>
      </c>
      <c r="B445" t="s">
        <v>37</v>
      </c>
      <c r="C445">
        <v>4</v>
      </c>
      <c r="D445">
        <v>38.9</v>
      </c>
      <c r="E445">
        <v>155.6</v>
      </c>
      <c r="F445" s="12">
        <v>45714</v>
      </c>
      <c r="G445" s="12">
        <v>45715</v>
      </c>
      <c r="H445" t="s">
        <v>27</v>
      </c>
      <c r="I445" t="s">
        <v>18</v>
      </c>
      <c r="J445">
        <v>4</v>
      </c>
      <c r="K445" t="s">
        <v>19</v>
      </c>
      <c r="L445" t="s">
        <v>33</v>
      </c>
      <c r="M445">
        <v>1</v>
      </c>
      <c r="N445">
        <v>9</v>
      </c>
      <c r="O445" t="s">
        <v>2530</v>
      </c>
    </row>
    <row r="446" spans="1:15">
      <c r="A446" t="s">
        <v>1615</v>
      </c>
      <c r="B446" t="s">
        <v>54</v>
      </c>
      <c r="C446">
        <v>1</v>
      </c>
      <c r="D446">
        <v>32.700000000000003</v>
      </c>
      <c r="E446">
        <v>32.700000000000003</v>
      </c>
      <c r="F446" s="12">
        <v>45714</v>
      </c>
      <c r="G446" s="12">
        <v>45721</v>
      </c>
      <c r="H446" t="s">
        <v>27</v>
      </c>
      <c r="I446" t="s">
        <v>18</v>
      </c>
      <c r="J446">
        <v>5</v>
      </c>
      <c r="K446" t="s">
        <v>19</v>
      </c>
      <c r="L446" t="s">
        <v>33</v>
      </c>
      <c r="M446">
        <v>7</v>
      </c>
      <c r="N446">
        <v>9</v>
      </c>
      <c r="O446" t="s">
        <v>2530</v>
      </c>
    </row>
    <row r="447" spans="1:15">
      <c r="A447" t="s">
        <v>1614</v>
      </c>
      <c r="B447" t="s">
        <v>39</v>
      </c>
      <c r="C447">
        <v>4</v>
      </c>
      <c r="D447">
        <v>52.6</v>
      </c>
      <c r="E447">
        <v>210.4</v>
      </c>
      <c r="F447" s="12">
        <v>45714</v>
      </c>
      <c r="G447" s="12">
        <v>45716</v>
      </c>
      <c r="H447" t="s">
        <v>27</v>
      </c>
      <c r="I447" t="s">
        <v>40</v>
      </c>
      <c r="J447">
        <v>3</v>
      </c>
      <c r="K447" t="s">
        <v>19</v>
      </c>
      <c r="L447" t="s">
        <v>33</v>
      </c>
      <c r="M447">
        <v>2</v>
      </c>
      <c r="N447">
        <v>9</v>
      </c>
      <c r="O447" t="s">
        <v>2530</v>
      </c>
    </row>
    <row r="448" spans="1:15">
      <c r="A448" t="s">
        <v>1613</v>
      </c>
      <c r="B448" t="s">
        <v>44</v>
      </c>
      <c r="C448">
        <v>2</v>
      </c>
      <c r="D448">
        <v>26.3</v>
      </c>
      <c r="E448">
        <v>52.6</v>
      </c>
      <c r="F448" s="12">
        <v>45714</v>
      </c>
      <c r="G448" s="12">
        <v>45716</v>
      </c>
      <c r="H448" t="s">
        <v>27</v>
      </c>
      <c r="I448" t="s">
        <v>18</v>
      </c>
      <c r="J448">
        <v>3</v>
      </c>
      <c r="K448" t="s">
        <v>19</v>
      </c>
      <c r="L448" t="s">
        <v>33</v>
      </c>
      <c r="M448">
        <v>2</v>
      </c>
      <c r="N448">
        <v>9</v>
      </c>
      <c r="O448" t="s">
        <v>2530</v>
      </c>
    </row>
    <row r="449" spans="1:15">
      <c r="A449" t="s">
        <v>1612</v>
      </c>
      <c r="B449" t="s">
        <v>135</v>
      </c>
      <c r="C449">
        <v>6</v>
      </c>
      <c r="D449">
        <v>71.900000000000006</v>
      </c>
      <c r="E449">
        <v>431.40000000000003</v>
      </c>
      <c r="F449" s="12">
        <v>45713</v>
      </c>
      <c r="G449" s="12">
        <v>45714</v>
      </c>
      <c r="H449" t="s">
        <v>27</v>
      </c>
      <c r="I449" t="s">
        <v>40</v>
      </c>
      <c r="J449">
        <v>4</v>
      </c>
      <c r="K449" t="s">
        <v>19</v>
      </c>
      <c r="L449" t="s">
        <v>33</v>
      </c>
      <c r="M449">
        <v>1</v>
      </c>
      <c r="N449">
        <v>9</v>
      </c>
      <c r="O449" t="s">
        <v>2530</v>
      </c>
    </row>
    <row r="450" spans="1:15">
      <c r="A450" t="s">
        <v>1611</v>
      </c>
      <c r="B450" t="s">
        <v>76</v>
      </c>
      <c r="C450">
        <v>7</v>
      </c>
      <c r="D450">
        <v>43.8</v>
      </c>
      <c r="E450">
        <v>306.59999999999997</v>
      </c>
      <c r="F450" s="12">
        <v>45713</v>
      </c>
      <c r="G450" s="12">
        <v>45715</v>
      </c>
      <c r="H450" t="s">
        <v>23</v>
      </c>
      <c r="I450" t="s">
        <v>35</v>
      </c>
      <c r="J450">
        <v>4</v>
      </c>
      <c r="K450" t="s">
        <v>19</v>
      </c>
      <c r="L450" t="s">
        <v>33</v>
      </c>
      <c r="M450">
        <v>2</v>
      </c>
      <c r="N450">
        <v>9</v>
      </c>
      <c r="O450" t="s">
        <v>2531</v>
      </c>
    </row>
    <row r="451" spans="1:15">
      <c r="A451" t="s">
        <v>1610</v>
      </c>
      <c r="B451" t="s">
        <v>22</v>
      </c>
      <c r="C451">
        <v>12</v>
      </c>
      <c r="D451">
        <v>67.7</v>
      </c>
      <c r="E451">
        <v>812.40000000000009</v>
      </c>
      <c r="F451" s="12">
        <v>45713</v>
      </c>
      <c r="G451" s="12">
        <v>45717</v>
      </c>
      <c r="H451" t="s">
        <v>23</v>
      </c>
      <c r="I451" t="s">
        <v>35</v>
      </c>
      <c r="J451">
        <v>3</v>
      </c>
      <c r="K451" t="s">
        <v>19</v>
      </c>
      <c r="L451" t="s">
        <v>33</v>
      </c>
      <c r="M451">
        <v>4</v>
      </c>
      <c r="N451">
        <v>9</v>
      </c>
      <c r="O451" t="s">
        <v>2531</v>
      </c>
    </row>
    <row r="452" spans="1:15">
      <c r="A452" t="s">
        <v>538</v>
      </c>
      <c r="B452" t="s">
        <v>44</v>
      </c>
      <c r="C452">
        <v>1</v>
      </c>
      <c r="D452">
        <v>28.5</v>
      </c>
      <c r="E452">
        <v>28.5</v>
      </c>
      <c r="F452" s="12">
        <v>45677</v>
      </c>
      <c r="G452" s="12">
        <v>45679</v>
      </c>
      <c r="H452" t="s">
        <v>17</v>
      </c>
      <c r="I452" t="s">
        <v>40</v>
      </c>
      <c r="J452">
        <v>3</v>
      </c>
      <c r="K452" t="s">
        <v>19</v>
      </c>
      <c r="L452" t="s">
        <v>33</v>
      </c>
      <c r="M452">
        <v>2</v>
      </c>
      <c r="N452">
        <v>4</v>
      </c>
      <c r="O452" t="s">
        <v>2533</v>
      </c>
    </row>
    <row r="453" spans="1:15">
      <c r="A453" t="s">
        <v>539</v>
      </c>
      <c r="B453" t="s">
        <v>146</v>
      </c>
      <c r="C453">
        <v>2</v>
      </c>
      <c r="D453">
        <v>36.799999999999997</v>
      </c>
      <c r="E453">
        <v>73.599999999999994</v>
      </c>
      <c r="F453" s="12">
        <v>45677</v>
      </c>
      <c r="G453" s="12">
        <v>45683</v>
      </c>
      <c r="H453" t="s">
        <v>27</v>
      </c>
      <c r="I453" t="s">
        <v>18</v>
      </c>
      <c r="J453">
        <v>5</v>
      </c>
      <c r="K453" t="s">
        <v>19</v>
      </c>
      <c r="L453" t="s">
        <v>33</v>
      </c>
      <c r="M453">
        <v>6</v>
      </c>
      <c r="N453">
        <v>4</v>
      </c>
      <c r="O453" t="s">
        <v>2530</v>
      </c>
    </row>
    <row r="454" spans="1:15">
      <c r="A454" t="s">
        <v>540</v>
      </c>
      <c r="B454" t="s">
        <v>42</v>
      </c>
      <c r="C454">
        <v>3</v>
      </c>
      <c r="D454">
        <v>33.5</v>
      </c>
      <c r="E454">
        <v>100.5</v>
      </c>
      <c r="F454" s="12">
        <v>45677</v>
      </c>
      <c r="G454" s="12">
        <v>45678</v>
      </c>
      <c r="H454" t="s">
        <v>27</v>
      </c>
      <c r="I454" t="s">
        <v>18</v>
      </c>
      <c r="J454">
        <v>3</v>
      </c>
      <c r="K454" t="s">
        <v>19</v>
      </c>
      <c r="L454" t="s">
        <v>33</v>
      </c>
      <c r="M454">
        <v>1</v>
      </c>
      <c r="N454">
        <v>4</v>
      </c>
      <c r="O454" t="s">
        <v>2530</v>
      </c>
    </row>
    <row r="455" spans="1:15">
      <c r="A455" t="s">
        <v>541</v>
      </c>
      <c r="B455" t="s">
        <v>39</v>
      </c>
      <c r="C455">
        <v>6</v>
      </c>
      <c r="D455">
        <v>62.5</v>
      </c>
      <c r="E455">
        <v>375</v>
      </c>
      <c r="F455" s="12">
        <v>45677</v>
      </c>
      <c r="G455" s="12">
        <v>45679</v>
      </c>
      <c r="H455" t="s">
        <v>27</v>
      </c>
      <c r="I455" t="s">
        <v>18</v>
      </c>
      <c r="J455">
        <v>4</v>
      </c>
      <c r="K455" t="s">
        <v>19</v>
      </c>
      <c r="L455" t="s">
        <v>33</v>
      </c>
      <c r="M455">
        <v>2</v>
      </c>
      <c r="N455">
        <v>4</v>
      </c>
      <c r="O455" t="s">
        <v>2530</v>
      </c>
    </row>
    <row r="456" spans="1:15">
      <c r="A456" t="s">
        <v>542</v>
      </c>
      <c r="B456" t="s">
        <v>44</v>
      </c>
      <c r="C456">
        <v>40</v>
      </c>
      <c r="D456">
        <v>47.9</v>
      </c>
      <c r="E456">
        <v>1916</v>
      </c>
      <c r="F456" s="12">
        <v>45677</v>
      </c>
      <c r="G456" s="12">
        <v>45678</v>
      </c>
      <c r="H456" t="s">
        <v>27</v>
      </c>
      <c r="I456" t="s">
        <v>51</v>
      </c>
      <c r="J456">
        <v>4</v>
      </c>
      <c r="K456" t="s">
        <v>19</v>
      </c>
      <c r="L456" t="s">
        <v>33</v>
      </c>
      <c r="M456">
        <v>1</v>
      </c>
      <c r="N456">
        <v>4</v>
      </c>
      <c r="O456" t="s">
        <v>2530</v>
      </c>
    </row>
    <row r="457" spans="1:15">
      <c r="A457" t="s">
        <v>543</v>
      </c>
      <c r="B457" t="s">
        <v>39</v>
      </c>
      <c r="C457">
        <v>6</v>
      </c>
      <c r="D457">
        <v>92.9</v>
      </c>
      <c r="E457">
        <v>557.40000000000009</v>
      </c>
      <c r="F457" s="12">
        <v>45677</v>
      </c>
      <c r="G457" s="12">
        <v>45688</v>
      </c>
      <c r="H457" t="s">
        <v>27</v>
      </c>
      <c r="I457" t="s">
        <v>18</v>
      </c>
      <c r="J457">
        <v>2</v>
      </c>
      <c r="K457" t="s">
        <v>19</v>
      </c>
      <c r="L457" t="s">
        <v>33</v>
      </c>
      <c r="M457">
        <v>11</v>
      </c>
      <c r="N457">
        <v>4</v>
      </c>
      <c r="O457" t="s">
        <v>2530</v>
      </c>
    </row>
    <row r="458" spans="1:15">
      <c r="A458" t="s">
        <v>1609</v>
      </c>
      <c r="B458" t="s">
        <v>26</v>
      </c>
      <c r="C458">
        <v>2</v>
      </c>
      <c r="D458">
        <v>73.8</v>
      </c>
      <c r="E458">
        <v>147.6</v>
      </c>
      <c r="F458" s="12">
        <v>45713</v>
      </c>
      <c r="G458" s="12">
        <v>45713</v>
      </c>
      <c r="H458" t="s">
        <v>23</v>
      </c>
      <c r="I458" t="s">
        <v>51</v>
      </c>
      <c r="J458">
        <v>5</v>
      </c>
      <c r="K458" t="s">
        <v>19</v>
      </c>
      <c r="L458" t="s">
        <v>33</v>
      </c>
      <c r="M458">
        <v>0</v>
      </c>
      <c r="N458">
        <v>9</v>
      </c>
      <c r="O458" t="s">
        <v>2531</v>
      </c>
    </row>
    <row r="459" spans="1:15">
      <c r="A459" t="s">
        <v>1608</v>
      </c>
      <c r="B459" t="s">
        <v>39</v>
      </c>
      <c r="C459">
        <v>4</v>
      </c>
      <c r="D459">
        <v>70.3</v>
      </c>
      <c r="E459">
        <v>281.2</v>
      </c>
      <c r="F459" s="12">
        <v>45713</v>
      </c>
      <c r="G459" s="12">
        <v>45714</v>
      </c>
      <c r="H459" t="s">
        <v>23</v>
      </c>
      <c r="I459" t="s">
        <v>18</v>
      </c>
      <c r="J459">
        <v>4</v>
      </c>
      <c r="K459" t="s">
        <v>19</v>
      </c>
      <c r="L459" t="s">
        <v>33</v>
      </c>
      <c r="M459">
        <v>1</v>
      </c>
      <c r="N459">
        <v>9</v>
      </c>
      <c r="O459" t="s">
        <v>2531</v>
      </c>
    </row>
    <row r="460" spans="1:15">
      <c r="A460" t="s">
        <v>1589</v>
      </c>
      <c r="B460" t="s">
        <v>16</v>
      </c>
      <c r="C460">
        <v>11</v>
      </c>
      <c r="D460">
        <v>37.5</v>
      </c>
      <c r="E460">
        <v>412.5</v>
      </c>
      <c r="F460" s="12">
        <v>45713</v>
      </c>
      <c r="G460" s="12">
        <v>45715</v>
      </c>
      <c r="H460" t="s">
        <v>27</v>
      </c>
      <c r="I460" t="s">
        <v>18</v>
      </c>
      <c r="J460">
        <v>1</v>
      </c>
      <c r="K460" t="s">
        <v>19</v>
      </c>
      <c r="L460" t="s">
        <v>33</v>
      </c>
      <c r="M460">
        <v>2</v>
      </c>
      <c r="N460">
        <v>9</v>
      </c>
      <c r="O460" t="s">
        <v>2530</v>
      </c>
    </row>
    <row r="461" spans="1:15">
      <c r="A461" t="s">
        <v>1588</v>
      </c>
      <c r="B461" t="s">
        <v>69</v>
      </c>
      <c r="C461">
        <v>4</v>
      </c>
      <c r="D461">
        <v>47.4</v>
      </c>
      <c r="E461">
        <v>189.6</v>
      </c>
      <c r="F461" s="12">
        <v>45713</v>
      </c>
      <c r="G461" s="12">
        <v>45716</v>
      </c>
      <c r="H461" t="s">
        <v>27</v>
      </c>
      <c r="I461" t="s">
        <v>35</v>
      </c>
      <c r="J461">
        <v>4</v>
      </c>
      <c r="K461" t="s">
        <v>19</v>
      </c>
      <c r="L461" t="s">
        <v>33</v>
      </c>
      <c r="M461">
        <v>3</v>
      </c>
      <c r="N461">
        <v>9</v>
      </c>
      <c r="O461" t="s">
        <v>2530</v>
      </c>
    </row>
    <row r="462" spans="1:15">
      <c r="A462" t="s">
        <v>1587</v>
      </c>
      <c r="B462" t="s">
        <v>69</v>
      </c>
      <c r="C462">
        <v>2</v>
      </c>
      <c r="D462">
        <v>99.5</v>
      </c>
      <c r="E462">
        <v>199</v>
      </c>
      <c r="F462" s="12">
        <v>45713</v>
      </c>
      <c r="G462" s="12">
        <v>45715</v>
      </c>
      <c r="H462" t="s">
        <v>27</v>
      </c>
      <c r="I462" t="s">
        <v>40</v>
      </c>
      <c r="J462">
        <v>4</v>
      </c>
      <c r="K462" t="s">
        <v>19</v>
      </c>
      <c r="L462" t="s">
        <v>33</v>
      </c>
      <c r="M462">
        <v>2</v>
      </c>
      <c r="N462">
        <v>9</v>
      </c>
      <c r="O462" t="s">
        <v>2530</v>
      </c>
    </row>
    <row r="463" spans="1:15">
      <c r="A463" t="s">
        <v>1586</v>
      </c>
      <c r="B463" t="s">
        <v>32</v>
      </c>
      <c r="C463">
        <v>1</v>
      </c>
      <c r="D463">
        <v>22.3</v>
      </c>
      <c r="E463">
        <v>22.3</v>
      </c>
      <c r="F463" s="12">
        <v>45713</v>
      </c>
      <c r="G463" s="12">
        <v>45715</v>
      </c>
      <c r="H463" t="s">
        <v>27</v>
      </c>
      <c r="I463" t="s">
        <v>40</v>
      </c>
      <c r="J463">
        <v>4</v>
      </c>
      <c r="K463" t="s">
        <v>19</v>
      </c>
      <c r="L463" t="s">
        <v>33</v>
      </c>
      <c r="M463">
        <v>2</v>
      </c>
      <c r="N463">
        <v>9</v>
      </c>
      <c r="O463" t="s">
        <v>2530</v>
      </c>
    </row>
    <row r="464" spans="1:15">
      <c r="A464" t="s">
        <v>1585</v>
      </c>
      <c r="B464" t="s">
        <v>44</v>
      </c>
      <c r="C464">
        <v>3</v>
      </c>
      <c r="D464">
        <v>23.1</v>
      </c>
      <c r="E464">
        <v>69.300000000000011</v>
      </c>
      <c r="F464" s="12">
        <v>45713</v>
      </c>
      <c r="G464" s="12">
        <v>45714</v>
      </c>
      <c r="H464" t="s">
        <v>89</v>
      </c>
      <c r="I464" t="s">
        <v>40</v>
      </c>
      <c r="J464">
        <v>3</v>
      </c>
      <c r="K464" t="s">
        <v>19</v>
      </c>
      <c r="L464" t="s">
        <v>33</v>
      </c>
      <c r="M464">
        <v>1</v>
      </c>
      <c r="N464">
        <v>9</v>
      </c>
      <c r="O464" t="s">
        <v>2532</v>
      </c>
    </row>
    <row r="465" spans="1:15">
      <c r="A465" t="s">
        <v>1584</v>
      </c>
      <c r="B465" t="s">
        <v>44</v>
      </c>
      <c r="C465">
        <v>5</v>
      </c>
      <c r="D465">
        <v>26.3</v>
      </c>
      <c r="E465">
        <v>131.5</v>
      </c>
      <c r="F465" s="12">
        <v>45713</v>
      </c>
      <c r="G465" s="12">
        <v>45714</v>
      </c>
      <c r="H465" t="s">
        <v>27</v>
      </c>
      <c r="I465" t="s">
        <v>51</v>
      </c>
      <c r="J465">
        <v>5</v>
      </c>
      <c r="K465" t="s">
        <v>19</v>
      </c>
      <c r="L465" t="s">
        <v>33</v>
      </c>
      <c r="M465">
        <v>1</v>
      </c>
      <c r="N465">
        <v>9</v>
      </c>
      <c r="O465" t="s">
        <v>2530</v>
      </c>
    </row>
    <row r="466" spans="1:15">
      <c r="A466" t="s">
        <v>1583</v>
      </c>
      <c r="B466" t="s">
        <v>16</v>
      </c>
      <c r="C466">
        <v>4</v>
      </c>
      <c r="D466">
        <v>31.7</v>
      </c>
      <c r="E466">
        <v>126.8</v>
      </c>
      <c r="F466" s="12">
        <v>45713</v>
      </c>
      <c r="G466" s="12">
        <v>45714</v>
      </c>
      <c r="H466" t="s">
        <v>23</v>
      </c>
      <c r="I466" t="s">
        <v>40</v>
      </c>
      <c r="J466">
        <v>5</v>
      </c>
      <c r="K466" t="s">
        <v>19</v>
      </c>
      <c r="L466" t="s">
        <v>33</v>
      </c>
      <c r="M466">
        <v>1</v>
      </c>
      <c r="N466">
        <v>9</v>
      </c>
      <c r="O466" t="s">
        <v>2531</v>
      </c>
    </row>
    <row r="467" spans="1:15">
      <c r="A467" t="s">
        <v>1582</v>
      </c>
      <c r="B467" t="s">
        <v>46</v>
      </c>
      <c r="C467">
        <v>1</v>
      </c>
      <c r="D467">
        <v>37.799999999999997</v>
      </c>
      <c r="E467">
        <v>37.799999999999997</v>
      </c>
      <c r="F467" s="12">
        <v>45713</v>
      </c>
      <c r="G467" s="12">
        <v>45716</v>
      </c>
      <c r="H467" t="s">
        <v>27</v>
      </c>
      <c r="I467" t="s">
        <v>18</v>
      </c>
      <c r="J467">
        <v>5</v>
      </c>
      <c r="K467" t="s">
        <v>19</v>
      </c>
      <c r="L467" t="s">
        <v>33</v>
      </c>
      <c r="M467">
        <v>3</v>
      </c>
      <c r="N467">
        <v>9</v>
      </c>
      <c r="O467" t="s">
        <v>2530</v>
      </c>
    </row>
    <row r="468" spans="1:15">
      <c r="A468" t="s">
        <v>1562</v>
      </c>
      <c r="B468" t="s">
        <v>44</v>
      </c>
      <c r="C468">
        <v>2</v>
      </c>
      <c r="D468">
        <v>51</v>
      </c>
      <c r="E468">
        <v>102</v>
      </c>
      <c r="F468" s="12">
        <v>45712</v>
      </c>
      <c r="G468" s="12">
        <v>45715</v>
      </c>
      <c r="H468" t="s">
        <v>23</v>
      </c>
      <c r="I468" t="s">
        <v>51</v>
      </c>
      <c r="J468">
        <v>5</v>
      </c>
      <c r="K468" t="s">
        <v>19</v>
      </c>
      <c r="L468" t="s">
        <v>33</v>
      </c>
      <c r="M468">
        <v>3</v>
      </c>
      <c r="N468">
        <v>9</v>
      </c>
      <c r="O468" t="s">
        <v>2531</v>
      </c>
    </row>
    <row r="469" spans="1:15">
      <c r="A469" t="s">
        <v>1561</v>
      </c>
      <c r="B469" t="s">
        <v>46</v>
      </c>
      <c r="C469">
        <v>2</v>
      </c>
      <c r="D469">
        <v>21.8</v>
      </c>
      <c r="E469">
        <v>43.6</v>
      </c>
      <c r="F469" s="12">
        <v>45712</v>
      </c>
      <c r="G469" s="12">
        <v>45716</v>
      </c>
      <c r="H469" t="s">
        <v>23</v>
      </c>
      <c r="I469" t="s">
        <v>70</v>
      </c>
      <c r="J469">
        <v>5</v>
      </c>
      <c r="K469" t="s">
        <v>19</v>
      </c>
      <c r="L469" t="s">
        <v>33</v>
      </c>
      <c r="M469">
        <v>4</v>
      </c>
      <c r="N469">
        <v>9</v>
      </c>
      <c r="O469" t="s">
        <v>2531</v>
      </c>
    </row>
    <row r="470" spans="1:15">
      <c r="A470" t="s">
        <v>1560</v>
      </c>
      <c r="B470" t="s">
        <v>22</v>
      </c>
      <c r="C470">
        <v>1</v>
      </c>
      <c r="D470">
        <v>39.5</v>
      </c>
      <c r="E470">
        <v>39.5</v>
      </c>
      <c r="F470" s="12">
        <v>45712</v>
      </c>
      <c r="G470" s="12">
        <v>45720</v>
      </c>
      <c r="H470" t="s">
        <v>27</v>
      </c>
      <c r="I470" t="s">
        <v>18</v>
      </c>
      <c r="J470">
        <v>4</v>
      </c>
      <c r="K470" t="s">
        <v>19</v>
      </c>
      <c r="L470" t="s">
        <v>33</v>
      </c>
      <c r="M470">
        <v>8</v>
      </c>
      <c r="N470">
        <v>9</v>
      </c>
      <c r="O470" t="s">
        <v>2530</v>
      </c>
    </row>
    <row r="471" spans="1:15">
      <c r="A471" t="s">
        <v>558</v>
      </c>
      <c r="B471" t="s">
        <v>44</v>
      </c>
      <c r="C471">
        <v>3</v>
      </c>
      <c r="D471">
        <v>31.3</v>
      </c>
      <c r="E471">
        <v>93.9</v>
      </c>
      <c r="F471" s="12">
        <v>45678</v>
      </c>
      <c r="G471" s="12">
        <v>45679</v>
      </c>
      <c r="H471" t="s">
        <v>23</v>
      </c>
      <c r="I471" t="s">
        <v>40</v>
      </c>
      <c r="J471">
        <v>3</v>
      </c>
      <c r="K471" t="s">
        <v>19</v>
      </c>
      <c r="L471" t="s">
        <v>33</v>
      </c>
      <c r="M471">
        <v>1</v>
      </c>
      <c r="N471">
        <v>4</v>
      </c>
      <c r="O471" t="s">
        <v>2531</v>
      </c>
    </row>
    <row r="472" spans="1:15">
      <c r="A472" t="s">
        <v>559</v>
      </c>
      <c r="B472" t="s">
        <v>26</v>
      </c>
      <c r="C472">
        <v>2</v>
      </c>
      <c r="D472">
        <v>85.4</v>
      </c>
      <c r="E472">
        <v>170.8</v>
      </c>
      <c r="F472" s="12">
        <v>45678</v>
      </c>
      <c r="G472" s="12">
        <v>45679</v>
      </c>
      <c r="H472" t="s">
        <v>27</v>
      </c>
      <c r="I472" t="s">
        <v>40</v>
      </c>
      <c r="J472">
        <v>4</v>
      </c>
      <c r="K472" t="s">
        <v>19</v>
      </c>
      <c r="L472" t="s">
        <v>33</v>
      </c>
      <c r="M472">
        <v>1</v>
      </c>
      <c r="N472">
        <v>4</v>
      </c>
      <c r="O472" t="s">
        <v>2530</v>
      </c>
    </row>
    <row r="473" spans="1:15">
      <c r="A473" t="s">
        <v>560</v>
      </c>
      <c r="B473" t="s">
        <v>44</v>
      </c>
      <c r="C473">
        <v>4</v>
      </c>
      <c r="D473">
        <v>40</v>
      </c>
      <c r="E473">
        <v>160</v>
      </c>
      <c r="F473" s="12">
        <v>45678</v>
      </c>
      <c r="G473" s="12">
        <v>45679</v>
      </c>
      <c r="H473" t="s">
        <v>89</v>
      </c>
      <c r="I473" t="s">
        <v>18</v>
      </c>
      <c r="J473">
        <v>5</v>
      </c>
      <c r="K473" t="s">
        <v>19</v>
      </c>
      <c r="L473" t="s">
        <v>33</v>
      </c>
      <c r="M473">
        <v>1</v>
      </c>
      <c r="N473">
        <v>4</v>
      </c>
      <c r="O473" t="s">
        <v>2532</v>
      </c>
    </row>
    <row r="474" spans="1:15">
      <c r="A474" t="s">
        <v>561</v>
      </c>
      <c r="B474" t="s">
        <v>37</v>
      </c>
      <c r="C474">
        <v>2</v>
      </c>
      <c r="D474">
        <v>38.5</v>
      </c>
      <c r="E474">
        <v>77</v>
      </c>
      <c r="F474" s="12">
        <v>45678</v>
      </c>
      <c r="G474" s="12">
        <v>45681</v>
      </c>
      <c r="H474" t="s">
        <v>23</v>
      </c>
      <c r="I474" t="s">
        <v>35</v>
      </c>
      <c r="J474">
        <v>5</v>
      </c>
      <c r="K474" t="s">
        <v>19</v>
      </c>
      <c r="L474" t="s">
        <v>33</v>
      </c>
      <c r="M474">
        <v>3</v>
      </c>
      <c r="N474">
        <v>4</v>
      </c>
      <c r="O474" t="s">
        <v>2531</v>
      </c>
    </row>
    <row r="475" spans="1:15">
      <c r="A475" t="s">
        <v>562</v>
      </c>
      <c r="B475" t="s">
        <v>26</v>
      </c>
      <c r="C475">
        <v>2</v>
      </c>
      <c r="D475">
        <v>57.8</v>
      </c>
      <c r="E475">
        <v>115.6</v>
      </c>
      <c r="F475" s="12">
        <v>45678</v>
      </c>
      <c r="G475" s="12">
        <v>45679</v>
      </c>
      <c r="H475" t="s">
        <v>17</v>
      </c>
      <c r="I475" t="s">
        <v>18</v>
      </c>
      <c r="J475">
        <v>4</v>
      </c>
      <c r="K475" t="s">
        <v>19</v>
      </c>
      <c r="L475" t="s">
        <v>33</v>
      </c>
      <c r="M475">
        <v>1</v>
      </c>
      <c r="N475">
        <v>4</v>
      </c>
      <c r="O475" t="s">
        <v>2533</v>
      </c>
    </row>
    <row r="476" spans="1:15">
      <c r="A476" t="s">
        <v>563</v>
      </c>
      <c r="B476" t="s">
        <v>44</v>
      </c>
      <c r="C476">
        <v>1</v>
      </c>
      <c r="D476">
        <v>19.2</v>
      </c>
      <c r="E476">
        <v>19.2</v>
      </c>
      <c r="F476" s="12">
        <v>45678</v>
      </c>
      <c r="G476" s="12">
        <v>45679</v>
      </c>
      <c r="H476" t="s">
        <v>27</v>
      </c>
      <c r="I476" t="s">
        <v>18</v>
      </c>
      <c r="J476">
        <v>2</v>
      </c>
      <c r="K476" t="s">
        <v>19</v>
      </c>
      <c r="L476" t="s">
        <v>33</v>
      </c>
      <c r="M476">
        <v>1</v>
      </c>
      <c r="N476">
        <v>4</v>
      </c>
      <c r="O476" t="s">
        <v>2530</v>
      </c>
    </row>
    <row r="477" spans="1:15">
      <c r="A477" t="s">
        <v>564</v>
      </c>
      <c r="B477" t="s">
        <v>39</v>
      </c>
      <c r="C477">
        <v>6</v>
      </c>
      <c r="D477">
        <v>114.8</v>
      </c>
      <c r="E477">
        <v>688.8</v>
      </c>
      <c r="F477" s="12">
        <v>45678</v>
      </c>
      <c r="G477" s="12">
        <v>45681</v>
      </c>
      <c r="H477" t="s">
        <v>23</v>
      </c>
      <c r="I477" t="s">
        <v>35</v>
      </c>
      <c r="J477">
        <v>3</v>
      </c>
      <c r="K477" t="s">
        <v>19</v>
      </c>
      <c r="L477" t="s">
        <v>33</v>
      </c>
      <c r="M477">
        <v>3</v>
      </c>
      <c r="N477">
        <v>4</v>
      </c>
      <c r="O477" t="s">
        <v>2531</v>
      </c>
    </row>
    <row r="478" spans="1:15">
      <c r="A478" t="s">
        <v>565</v>
      </c>
      <c r="B478" t="s">
        <v>54</v>
      </c>
      <c r="C478">
        <v>7</v>
      </c>
      <c r="D478">
        <v>48.4</v>
      </c>
      <c r="E478">
        <v>338.8</v>
      </c>
      <c r="F478" s="12">
        <v>45678</v>
      </c>
      <c r="G478" s="12">
        <v>45681</v>
      </c>
      <c r="H478" t="s">
        <v>27</v>
      </c>
      <c r="I478" t="s">
        <v>51</v>
      </c>
      <c r="J478">
        <v>3</v>
      </c>
      <c r="K478" t="s">
        <v>19</v>
      </c>
      <c r="L478" t="s">
        <v>33</v>
      </c>
      <c r="M478">
        <v>3</v>
      </c>
      <c r="N478">
        <v>4</v>
      </c>
      <c r="O478" t="s">
        <v>2530</v>
      </c>
    </row>
    <row r="479" spans="1:15">
      <c r="A479" t="s">
        <v>566</v>
      </c>
      <c r="B479" t="s">
        <v>46</v>
      </c>
      <c r="C479">
        <v>5</v>
      </c>
      <c r="D479">
        <v>73.2</v>
      </c>
      <c r="E479">
        <v>366</v>
      </c>
      <c r="F479" s="12">
        <v>45678</v>
      </c>
      <c r="G479" s="12">
        <v>45679</v>
      </c>
      <c r="H479" t="s">
        <v>27</v>
      </c>
      <c r="I479" t="s">
        <v>35</v>
      </c>
      <c r="J479">
        <v>2</v>
      </c>
      <c r="K479" t="s">
        <v>19</v>
      </c>
      <c r="L479" t="s">
        <v>33</v>
      </c>
      <c r="M479">
        <v>1</v>
      </c>
      <c r="N479">
        <v>4</v>
      </c>
      <c r="O479" t="s">
        <v>2530</v>
      </c>
    </row>
    <row r="480" spans="1:15">
      <c r="A480" t="s">
        <v>567</v>
      </c>
      <c r="B480" t="s">
        <v>123</v>
      </c>
      <c r="C480">
        <v>2</v>
      </c>
      <c r="D480">
        <v>48.6</v>
      </c>
      <c r="E480">
        <v>97.2</v>
      </c>
      <c r="F480" s="12">
        <v>45678</v>
      </c>
      <c r="G480" s="12">
        <v>45682</v>
      </c>
      <c r="H480" t="s">
        <v>27</v>
      </c>
      <c r="I480" t="s">
        <v>51</v>
      </c>
      <c r="J480">
        <v>4</v>
      </c>
      <c r="K480" t="s">
        <v>19</v>
      </c>
      <c r="L480" t="s">
        <v>33</v>
      </c>
      <c r="M480">
        <v>4</v>
      </c>
      <c r="N480">
        <v>4</v>
      </c>
      <c r="O480" t="s">
        <v>2530</v>
      </c>
    </row>
    <row r="481" spans="1:15">
      <c r="A481" t="s">
        <v>568</v>
      </c>
      <c r="B481" t="s">
        <v>16</v>
      </c>
      <c r="C481">
        <v>6</v>
      </c>
      <c r="D481">
        <v>48.7</v>
      </c>
      <c r="E481">
        <v>292.20000000000005</v>
      </c>
      <c r="F481" s="12">
        <v>45678</v>
      </c>
      <c r="G481" s="12">
        <v>45679</v>
      </c>
      <c r="H481" t="s">
        <v>23</v>
      </c>
      <c r="I481" t="s">
        <v>18</v>
      </c>
      <c r="J481">
        <v>4</v>
      </c>
      <c r="K481" t="s">
        <v>19</v>
      </c>
      <c r="L481" t="s">
        <v>33</v>
      </c>
      <c r="M481">
        <v>1</v>
      </c>
      <c r="N481">
        <v>4</v>
      </c>
      <c r="O481" t="s">
        <v>2531</v>
      </c>
    </row>
    <row r="482" spans="1:15">
      <c r="A482" t="s">
        <v>569</v>
      </c>
      <c r="B482" t="s">
        <v>32</v>
      </c>
      <c r="C482">
        <v>2</v>
      </c>
      <c r="D482">
        <v>32.200000000000003</v>
      </c>
      <c r="E482">
        <v>64.400000000000006</v>
      </c>
      <c r="F482" s="12">
        <v>45678</v>
      </c>
      <c r="G482" s="12">
        <v>45681</v>
      </c>
      <c r="H482" t="s">
        <v>23</v>
      </c>
      <c r="I482" t="s">
        <v>40</v>
      </c>
      <c r="J482">
        <v>5</v>
      </c>
      <c r="K482" t="s">
        <v>19</v>
      </c>
      <c r="L482" t="s">
        <v>33</v>
      </c>
      <c r="M482">
        <v>3</v>
      </c>
      <c r="N482">
        <v>4</v>
      </c>
      <c r="O482" t="s">
        <v>2531</v>
      </c>
    </row>
    <row r="483" spans="1:15">
      <c r="A483" t="s">
        <v>1559</v>
      </c>
      <c r="B483" t="s">
        <v>39</v>
      </c>
      <c r="C483">
        <v>16</v>
      </c>
      <c r="D483">
        <v>91.1</v>
      </c>
      <c r="E483">
        <v>1457.6</v>
      </c>
      <c r="F483" s="12">
        <v>45712</v>
      </c>
      <c r="G483" s="12">
        <v>45713</v>
      </c>
      <c r="H483" t="s">
        <v>27</v>
      </c>
      <c r="I483" t="s">
        <v>35</v>
      </c>
      <c r="J483">
        <v>5</v>
      </c>
      <c r="K483" t="s">
        <v>19</v>
      </c>
      <c r="L483" t="s">
        <v>33</v>
      </c>
      <c r="M483">
        <v>1</v>
      </c>
      <c r="N483">
        <v>9</v>
      </c>
      <c r="O483" t="s">
        <v>2530</v>
      </c>
    </row>
    <row r="484" spans="1:15">
      <c r="A484" t="s">
        <v>1558</v>
      </c>
      <c r="B484" t="s">
        <v>39</v>
      </c>
      <c r="C484">
        <v>2</v>
      </c>
      <c r="D484">
        <v>64.599999999999994</v>
      </c>
      <c r="E484">
        <v>129.19999999999999</v>
      </c>
      <c r="F484" s="12">
        <v>45712</v>
      </c>
      <c r="G484" s="12">
        <v>45713</v>
      </c>
      <c r="H484" t="s">
        <v>23</v>
      </c>
      <c r="I484" t="s">
        <v>18</v>
      </c>
      <c r="J484">
        <v>3</v>
      </c>
      <c r="K484" t="s">
        <v>19</v>
      </c>
      <c r="L484" t="s">
        <v>33</v>
      </c>
      <c r="M484">
        <v>1</v>
      </c>
      <c r="N484">
        <v>9</v>
      </c>
      <c r="O484" t="s">
        <v>2531</v>
      </c>
    </row>
    <row r="485" spans="1:15">
      <c r="A485" t="s">
        <v>1557</v>
      </c>
      <c r="B485" t="s">
        <v>46</v>
      </c>
      <c r="C485">
        <v>4</v>
      </c>
      <c r="D485">
        <v>27.7</v>
      </c>
      <c r="E485">
        <v>110.8</v>
      </c>
      <c r="F485" s="12">
        <v>45712</v>
      </c>
      <c r="G485" s="12">
        <v>45713</v>
      </c>
      <c r="H485" t="s">
        <v>27</v>
      </c>
      <c r="I485" t="s">
        <v>18</v>
      </c>
      <c r="J485">
        <v>3</v>
      </c>
      <c r="K485" t="s">
        <v>19</v>
      </c>
      <c r="L485" t="s">
        <v>33</v>
      </c>
      <c r="M485">
        <v>1</v>
      </c>
      <c r="N485">
        <v>9</v>
      </c>
      <c r="O485" t="s">
        <v>2530</v>
      </c>
    </row>
    <row r="486" spans="1:15">
      <c r="A486" t="s">
        <v>1556</v>
      </c>
      <c r="B486" t="s">
        <v>42</v>
      </c>
      <c r="C486">
        <v>1</v>
      </c>
      <c r="D486">
        <v>40.799999999999997</v>
      </c>
      <c r="E486">
        <v>40.799999999999997</v>
      </c>
      <c r="F486" s="12">
        <v>45712</v>
      </c>
      <c r="G486" s="12">
        <v>45714</v>
      </c>
      <c r="H486" t="s">
        <v>27</v>
      </c>
      <c r="I486" t="s">
        <v>70</v>
      </c>
      <c r="J486">
        <v>4</v>
      </c>
      <c r="K486" t="s">
        <v>19</v>
      </c>
      <c r="L486" t="s">
        <v>33</v>
      </c>
      <c r="M486">
        <v>2</v>
      </c>
      <c r="N486">
        <v>9</v>
      </c>
      <c r="O486" t="s">
        <v>2530</v>
      </c>
    </row>
    <row r="487" spans="1:15">
      <c r="A487" t="s">
        <v>1555</v>
      </c>
      <c r="B487" t="s">
        <v>44</v>
      </c>
      <c r="C487">
        <v>2</v>
      </c>
      <c r="D487">
        <v>21.3</v>
      </c>
      <c r="E487">
        <v>42.6</v>
      </c>
      <c r="F487" s="12">
        <v>45712</v>
      </c>
      <c r="G487" s="12">
        <v>45713</v>
      </c>
      <c r="H487" t="s">
        <v>23</v>
      </c>
      <c r="I487" t="s">
        <v>18</v>
      </c>
      <c r="J487">
        <v>3</v>
      </c>
      <c r="K487" t="s">
        <v>19</v>
      </c>
      <c r="L487" t="s">
        <v>33</v>
      </c>
      <c r="M487">
        <v>1</v>
      </c>
      <c r="N487">
        <v>9</v>
      </c>
      <c r="O487" t="s">
        <v>2531</v>
      </c>
    </row>
    <row r="488" spans="1:15">
      <c r="A488" t="s">
        <v>1554</v>
      </c>
      <c r="B488" t="s">
        <v>44</v>
      </c>
      <c r="C488">
        <v>2</v>
      </c>
      <c r="D488">
        <v>30.6</v>
      </c>
      <c r="E488">
        <v>61.2</v>
      </c>
      <c r="F488" s="12">
        <v>45712</v>
      </c>
      <c r="G488" s="12">
        <v>45715</v>
      </c>
      <c r="H488" t="s">
        <v>23</v>
      </c>
      <c r="I488" t="s">
        <v>18</v>
      </c>
      <c r="J488">
        <v>5</v>
      </c>
      <c r="K488" t="s">
        <v>19</v>
      </c>
      <c r="L488" t="s">
        <v>33</v>
      </c>
      <c r="M488">
        <v>3</v>
      </c>
      <c r="N488">
        <v>9</v>
      </c>
      <c r="O488" t="s">
        <v>2531</v>
      </c>
    </row>
    <row r="489" spans="1:15">
      <c r="A489" t="s">
        <v>1553</v>
      </c>
      <c r="B489" t="s">
        <v>37</v>
      </c>
      <c r="C489">
        <v>2</v>
      </c>
      <c r="D489">
        <v>64</v>
      </c>
      <c r="E489">
        <v>128</v>
      </c>
      <c r="F489" s="12">
        <v>45712</v>
      </c>
      <c r="G489" s="12">
        <v>45712</v>
      </c>
      <c r="H489" t="s">
        <v>23</v>
      </c>
      <c r="I489" t="s">
        <v>35</v>
      </c>
      <c r="J489">
        <v>3</v>
      </c>
      <c r="K489" t="s">
        <v>19</v>
      </c>
      <c r="L489" t="s">
        <v>33</v>
      </c>
      <c r="M489">
        <v>0</v>
      </c>
      <c r="N489">
        <v>9</v>
      </c>
      <c r="O489" t="s">
        <v>2531</v>
      </c>
    </row>
    <row r="490" spans="1:15">
      <c r="A490" t="s">
        <v>1552</v>
      </c>
      <c r="B490" t="s">
        <v>44</v>
      </c>
      <c r="C490">
        <v>5</v>
      </c>
      <c r="D490">
        <v>39.6</v>
      </c>
      <c r="E490">
        <v>198</v>
      </c>
      <c r="F490" s="12">
        <v>45712</v>
      </c>
      <c r="G490" s="12">
        <v>45714</v>
      </c>
      <c r="H490" t="s">
        <v>23</v>
      </c>
      <c r="I490" t="s">
        <v>35</v>
      </c>
      <c r="J490">
        <v>5</v>
      </c>
      <c r="K490" t="s">
        <v>19</v>
      </c>
      <c r="L490" t="s">
        <v>33</v>
      </c>
      <c r="M490">
        <v>2</v>
      </c>
      <c r="N490">
        <v>9</v>
      </c>
      <c r="O490" t="s">
        <v>2531</v>
      </c>
    </row>
    <row r="491" spans="1:15">
      <c r="A491" t="s">
        <v>1551</v>
      </c>
      <c r="B491" t="s">
        <v>54</v>
      </c>
      <c r="C491">
        <v>1</v>
      </c>
      <c r="D491">
        <v>25.8</v>
      </c>
      <c r="E491">
        <v>25.8</v>
      </c>
      <c r="F491" s="12">
        <v>45712</v>
      </c>
      <c r="G491" s="12">
        <v>45714</v>
      </c>
      <c r="H491" t="s">
        <v>27</v>
      </c>
      <c r="I491" t="s">
        <v>18</v>
      </c>
      <c r="J491">
        <v>5</v>
      </c>
      <c r="K491" t="s">
        <v>19</v>
      </c>
      <c r="L491" t="s">
        <v>33</v>
      </c>
      <c r="M491">
        <v>2</v>
      </c>
      <c r="N491">
        <v>9</v>
      </c>
      <c r="O491" t="s">
        <v>2530</v>
      </c>
    </row>
    <row r="492" spans="1:15">
      <c r="A492" t="s">
        <v>1550</v>
      </c>
      <c r="B492" t="s">
        <v>22</v>
      </c>
      <c r="C492">
        <v>7</v>
      </c>
      <c r="D492">
        <v>71.3</v>
      </c>
      <c r="E492">
        <v>499.09999999999997</v>
      </c>
      <c r="F492" s="12">
        <v>45712</v>
      </c>
      <c r="G492" s="12">
        <v>45713</v>
      </c>
      <c r="H492" t="s">
        <v>23</v>
      </c>
      <c r="I492" t="s">
        <v>70</v>
      </c>
      <c r="J492">
        <v>4</v>
      </c>
      <c r="K492" t="s">
        <v>19</v>
      </c>
      <c r="L492" t="s">
        <v>33</v>
      </c>
      <c r="M492">
        <v>1</v>
      </c>
      <c r="N492">
        <v>9</v>
      </c>
      <c r="O492" t="s">
        <v>2531</v>
      </c>
    </row>
    <row r="493" spans="1:15">
      <c r="A493" t="s">
        <v>1538</v>
      </c>
      <c r="B493" t="s">
        <v>69</v>
      </c>
      <c r="C493">
        <v>5</v>
      </c>
      <c r="D493">
        <v>36.700000000000003</v>
      </c>
      <c r="E493">
        <v>183.5</v>
      </c>
      <c r="F493" s="12">
        <v>45711</v>
      </c>
      <c r="G493" s="12">
        <v>45715</v>
      </c>
      <c r="H493" t="s">
        <v>27</v>
      </c>
      <c r="I493" t="s">
        <v>70</v>
      </c>
      <c r="J493">
        <v>4</v>
      </c>
      <c r="K493" t="s">
        <v>19</v>
      </c>
      <c r="L493" t="s">
        <v>33</v>
      </c>
      <c r="M493">
        <v>4</v>
      </c>
      <c r="N493">
        <v>9</v>
      </c>
      <c r="O493" t="s">
        <v>2530</v>
      </c>
    </row>
    <row r="494" spans="1:15">
      <c r="A494" t="s">
        <v>1537</v>
      </c>
      <c r="B494" t="s">
        <v>42</v>
      </c>
      <c r="C494">
        <v>9</v>
      </c>
      <c r="D494">
        <v>66.099999999999994</v>
      </c>
      <c r="E494">
        <v>594.9</v>
      </c>
      <c r="F494" s="12">
        <v>45711</v>
      </c>
      <c r="G494" s="12">
        <v>45725</v>
      </c>
      <c r="H494" t="s">
        <v>27</v>
      </c>
      <c r="I494" t="s">
        <v>35</v>
      </c>
      <c r="J494">
        <v>4</v>
      </c>
      <c r="K494" t="s">
        <v>19</v>
      </c>
      <c r="L494" t="s">
        <v>33</v>
      </c>
      <c r="M494">
        <v>14</v>
      </c>
      <c r="N494">
        <v>9</v>
      </c>
      <c r="O494" t="s">
        <v>2530</v>
      </c>
    </row>
    <row r="495" spans="1:15">
      <c r="A495" t="s">
        <v>1536</v>
      </c>
      <c r="B495" t="s">
        <v>42</v>
      </c>
      <c r="C495">
        <v>5</v>
      </c>
      <c r="D495">
        <v>50.7</v>
      </c>
      <c r="E495">
        <v>253.5</v>
      </c>
      <c r="F495" s="12">
        <v>45711</v>
      </c>
      <c r="G495" s="12">
        <v>45712</v>
      </c>
      <c r="H495" t="s">
        <v>27</v>
      </c>
      <c r="I495" t="s">
        <v>18</v>
      </c>
      <c r="J495">
        <v>4</v>
      </c>
      <c r="K495" t="s">
        <v>19</v>
      </c>
      <c r="L495" t="s">
        <v>33</v>
      </c>
      <c r="M495">
        <v>1</v>
      </c>
      <c r="N495">
        <v>9</v>
      </c>
      <c r="O495" t="s">
        <v>2530</v>
      </c>
    </row>
    <row r="496" spans="1:15">
      <c r="A496" t="s">
        <v>1535</v>
      </c>
      <c r="B496" t="s">
        <v>26</v>
      </c>
      <c r="C496">
        <v>1</v>
      </c>
      <c r="D496">
        <v>108.9</v>
      </c>
      <c r="E496">
        <v>108.9</v>
      </c>
      <c r="F496" s="12">
        <v>45711</v>
      </c>
      <c r="G496" s="12">
        <v>45713</v>
      </c>
      <c r="H496" t="s">
        <v>27</v>
      </c>
      <c r="I496" t="s">
        <v>35</v>
      </c>
      <c r="J496">
        <v>4</v>
      </c>
      <c r="K496" t="s">
        <v>19</v>
      </c>
      <c r="L496" t="s">
        <v>33</v>
      </c>
      <c r="M496">
        <v>2</v>
      </c>
      <c r="N496">
        <v>9</v>
      </c>
      <c r="O496" t="s">
        <v>2530</v>
      </c>
    </row>
    <row r="497" spans="1:15">
      <c r="A497" t="s">
        <v>1534</v>
      </c>
      <c r="B497" t="s">
        <v>30</v>
      </c>
      <c r="C497">
        <v>1</v>
      </c>
      <c r="D497">
        <v>57.3</v>
      </c>
      <c r="E497">
        <v>57.3</v>
      </c>
      <c r="F497" s="12">
        <v>45711</v>
      </c>
      <c r="G497" s="12">
        <v>45713</v>
      </c>
      <c r="H497" t="s">
        <v>23</v>
      </c>
      <c r="I497" t="s">
        <v>18</v>
      </c>
      <c r="J497">
        <v>4</v>
      </c>
      <c r="K497" t="s">
        <v>19</v>
      </c>
      <c r="L497" t="s">
        <v>33</v>
      </c>
      <c r="M497">
        <v>2</v>
      </c>
      <c r="N497">
        <v>9</v>
      </c>
      <c r="O497" t="s">
        <v>2531</v>
      </c>
    </row>
    <row r="498" spans="1:15">
      <c r="A498" t="s">
        <v>1533</v>
      </c>
      <c r="B498" t="s">
        <v>16</v>
      </c>
      <c r="C498">
        <v>2</v>
      </c>
      <c r="D498">
        <v>24.2</v>
      </c>
      <c r="E498">
        <v>48.4</v>
      </c>
      <c r="F498" s="12">
        <v>45711</v>
      </c>
      <c r="G498" s="12">
        <v>45713</v>
      </c>
      <c r="H498" t="s">
        <v>27</v>
      </c>
      <c r="I498" t="s">
        <v>51</v>
      </c>
      <c r="J498">
        <v>5</v>
      </c>
      <c r="K498" t="s">
        <v>19</v>
      </c>
      <c r="L498" t="s">
        <v>33</v>
      </c>
      <c r="M498">
        <v>2</v>
      </c>
      <c r="N498">
        <v>9</v>
      </c>
      <c r="O498" t="s">
        <v>2530</v>
      </c>
    </row>
    <row r="499" spans="1:15">
      <c r="A499" t="s">
        <v>1513</v>
      </c>
      <c r="B499" t="s">
        <v>46</v>
      </c>
      <c r="C499">
        <v>6</v>
      </c>
      <c r="D499">
        <v>67.400000000000006</v>
      </c>
      <c r="E499">
        <v>404.40000000000003</v>
      </c>
      <c r="F499" s="12">
        <v>45711</v>
      </c>
      <c r="G499" s="12">
        <v>45712</v>
      </c>
      <c r="H499" t="s">
        <v>27</v>
      </c>
      <c r="I499" t="s">
        <v>51</v>
      </c>
      <c r="J499">
        <v>4</v>
      </c>
      <c r="K499" t="s">
        <v>19</v>
      </c>
      <c r="L499" t="s">
        <v>33</v>
      </c>
      <c r="M499">
        <v>1</v>
      </c>
      <c r="N499">
        <v>9</v>
      </c>
      <c r="O499" t="s">
        <v>2530</v>
      </c>
    </row>
    <row r="500" spans="1:15">
      <c r="A500" t="s">
        <v>1512</v>
      </c>
      <c r="B500" t="s">
        <v>26</v>
      </c>
      <c r="C500">
        <v>4</v>
      </c>
      <c r="D500">
        <v>104.8</v>
      </c>
      <c r="E500">
        <v>419.2</v>
      </c>
      <c r="F500" s="12">
        <v>45711</v>
      </c>
      <c r="G500" s="12">
        <v>45713</v>
      </c>
      <c r="H500" t="s">
        <v>89</v>
      </c>
      <c r="I500" t="s">
        <v>18</v>
      </c>
      <c r="J500">
        <v>4</v>
      </c>
      <c r="K500" t="s">
        <v>19</v>
      </c>
      <c r="L500" t="s">
        <v>33</v>
      </c>
      <c r="M500">
        <v>2</v>
      </c>
      <c r="N500">
        <v>9</v>
      </c>
      <c r="O500" t="s">
        <v>2532</v>
      </c>
    </row>
    <row r="501" spans="1:15">
      <c r="A501" t="s">
        <v>589</v>
      </c>
      <c r="B501" t="s">
        <v>44</v>
      </c>
      <c r="C501">
        <v>7</v>
      </c>
      <c r="D501">
        <v>33.1</v>
      </c>
      <c r="E501">
        <v>231.70000000000002</v>
      </c>
      <c r="F501" s="12">
        <v>45679</v>
      </c>
      <c r="G501" s="12">
        <v>45680</v>
      </c>
      <c r="H501" t="s">
        <v>89</v>
      </c>
      <c r="I501" t="s">
        <v>70</v>
      </c>
      <c r="J501">
        <v>1</v>
      </c>
      <c r="K501" t="s">
        <v>19</v>
      </c>
      <c r="L501" t="s">
        <v>33</v>
      </c>
      <c r="M501">
        <v>1</v>
      </c>
      <c r="N501">
        <v>4</v>
      </c>
      <c r="O501" t="s">
        <v>2532</v>
      </c>
    </row>
    <row r="502" spans="1:15">
      <c r="A502" t="s">
        <v>590</v>
      </c>
      <c r="B502" t="s">
        <v>54</v>
      </c>
      <c r="C502">
        <v>2</v>
      </c>
      <c r="D502">
        <v>30.5</v>
      </c>
      <c r="E502">
        <v>61</v>
      </c>
      <c r="F502" s="12">
        <v>45679</v>
      </c>
      <c r="G502" s="12">
        <v>45679</v>
      </c>
      <c r="H502" t="s">
        <v>17</v>
      </c>
      <c r="I502" t="s">
        <v>35</v>
      </c>
      <c r="J502">
        <v>3</v>
      </c>
      <c r="K502" t="s">
        <v>19</v>
      </c>
      <c r="L502" t="s">
        <v>33</v>
      </c>
      <c r="M502">
        <v>0</v>
      </c>
      <c r="N502">
        <v>4</v>
      </c>
      <c r="O502" t="s">
        <v>2533</v>
      </c>
    </row>
    <row r="503" spans="1:15">
      <c r="A503" t="s">
        <v>591</v>
      </c>
      <c r="B503" t="s">
        <v>46</v>
      </c>
      <c r="C503">
        <v>2</v>
      </c>
      <c r="D503">
        <v>69.599999999999994</v>
      </c>
      <c r="E503">
        <v>139.19999999999999</v>
      </c>
      <c r="F503" s="12">
        <v>45679</v>
      </c>
      <c r="G503" s="12">
        <v>45680</v>
      </c>
      <c r="H503" t="s">
        <v>23</v>
      </c>
      <c r="I503" t="s">
        <v>18</v>
      </c>
      <c r="J503">
        <v>3</v>
      </c>
      <c r="K503" t="s">
        <v>19</v>
      </c>
      <c r="L503" t="s">
        <v>33</v>
      </c>
      <c r="M503">
        <v>1</v>
      </c>
      <c r="N503">
        <v>4</v>
      </c>
      <c r="O503" t="s">
        <v>2531</v>
      </c>
    </row>
    <row r="504" spans="1:15">
      <c r="A504" t="s">
        <v>592</v>
      </c>
      <c r="B504" t="s">
        <v>67</v>
      </c>
      <c r="C504">
        <v>1</v>
      </c>
      <c r="D504">
        <v>42.4</v>
      </c>
      <c r="E504">
        <v>42.4</v>
      </c>
      <c r="F504" s="12">
        <v>45679</v>
      </c>
      <c r="G504" s="12">
        <v>45683</v>
      </c>
      <c r="H504" t="s">
        <v>27</v>
      </c>
      <c r="I504" t="s">
        <v>35</v>
      </c>
      <c r="J504">
        <v>4</v>
      </c>
      <c r="K504" t="s">
        <v>19</v>
      </c>
      <c r="L504" t="s">
        <v>33</v>
      </c>
      <c r="M504">
        <v>4</v>
      </c>
      <c r="N504">
        <v>4</v>
      </c>
      <c r="O504" t="s">
        <v>2530</v>
      </c>
    </row>
    <row r="505" spans="1:15">
      <c r="A505" t="s">
        <v>593</v>
      </c>
      <c r="B505" t="s">
        <v>135</v>
      </c>
      <c r="C505">
        <v>1</v>
      </c>
      <c r="D505">
        <v>32.200000000000003</v>
      </c>
      <c r="E505">
        <v>32.200000000000003</v>
      </c>
      <c r="F505" s="12">
        <v>45679</v>
      </c>
      <c r="G505" s="12">
        <v>45682</v>
      </c>
      <c r="H505" t="s">
        <v>27</v>
      </c>
      <c r="I505" t="s">
        <v>40</v>
      </c>
      <c r="J505">
        <v>3</v>
      </c>
      <c r="K505" t="s">
        <v>19</v>
      </c>
      <c r="L505" t="s">
        <v>33</v>
      </c>
      <c r="M505">
        <v>3</v>
      </c>
      <c r="N505">
        <v>4</v>
      </c>
      <c r="O505" t="s">
        <v>2530</v>
      </c>
    </row>
    <row r="506" spans="1:15">
      <c r="A506" t="s">
        <v>594</v>
      </c>
      <c r="B506" t="s">
        <v>39</v>
      </c>
      <c r="C506">
        <v>2</v>
      </c>
      <c r="D506">
        <v>41.5</v>
      </c>
      <c r="E506">
        <v>83</v>
      </c>
      <c r="F506" s="12">
        <v>45679</v>
      </c>
      <c r="G506" s="12">
        <v>45682</v>
      </c>
      <c r="H506" t="s">
        <v>27</v>
      </c>
      <c r="I506" t="s">
        <v>18</v>
      </c>
      <c r="J506">
        <v>5</v>
      </c>
      <c r="K506" t="s">
        <v>19</v>
      </c>
      <c r="L506" t="s">
        <v>33</v>
      </c>
      <c r="M506">
        <v>3</v>
      </c>
      <c r="N506">
        <v>4</v>
      </c>
      <c r="O506" t="s">
        <v>2530</v>
      </c>
    </row>
    <row r="507" spans="1:15">
      <c r="A507" t="s">
        <v>595</v>
      </c>
      <c r="B507" t="s">
        <v>128</v>
      </c>
      <c r="C507">
        <v>9</v>
      </c>
      <c r="D507">
        <v>58.9</v>
      </c>
      <c r="E507">
        <v>530.1</v>
      </c>
      <c r="F507" s="12">
        <v>45679</v>
      </c>
      <c r="G507" s="12">
        <v>45683</v>
      </c>
      <c r="H507" t="s">
        <v>27</v>
      </c>
      <c r="I507" t="s">
        <v>51</v>
      </c>
      <c r="J507">
        <v>4</v>
      </c>
      <c r="K507" t="s">
        <v>19</v>
      </c>
      <c r="L507" t="s">
        <v>33</v>
      </c>
      <c r="M507">
        <v>4</v>
      </c>
      <c r="N507">
        <v>4</v>
      </c>
      <c r="O507" t="s">
        <v>2530</v>
      </c>
    </row>
    <row r="508" spans="1:15">
      <c r="A508" t="s">
        <v>596</v>
      </c>
      <c r="B508" t="s">
        <v>26</v>
      </c>
      <c r="C508">
        <v>1</v>
      </c>
      <c r="D508">
        <v>57.1</v>
      </c>
      <c r="E508">
        <v>57.1</v>
      </c>
      <c r="F508" s="12">
        <v>45679</v>
      </c>
      <c r="G508" s="12">
        <v>45682</v>
      </c>
      <c r="H508" t="s">
        <v>27</v>
      </c>
      <c r="I508" t="s">
        <v>35</v>
      </c>
      <c r="J508">
        <v>4</v>
      </c>
      <c r="K508" t="s">
        <v>19</v>
      </c>
      <c r="L508" t="s">
        <v>33</v>
      </c>
      <c r="M508">
        <v>3</v>
      </c>
      <c r="N508">
        <v>4</v>
      </c>
      <c r="O508" t="s">
        <v>2530</v>
      </c>
    </row>
    <row r="509" spans="1:15">
      <c r="A509" t="s">
        <v>597</v>
      </c>
      <c r="B509" t="s">
        <v>39</v>
      </c>
      <c r="C509">
        <v>1</v>
      </c>
      <c r="D509">
        <v>57.2</v>
      </c>
      <c r="E509">
        <v>57.2</v>
      </c>
      <c r="F509" s="12">
        <v>45679</v>
      </c>
      <c r="G509" s="12">
        <v>45681</v>
      </c>
      <c r="H509" t="s">
        <v>23</v>
      </c>
      <c r="I509" t="s">
        <v>35</v>
      </c>
      <c r="J509">
        <v>4</v>
      </c>
      <c r="K509" t="s">
        <v>19</v>
      </c>
      <c r="L509" t="s">
        <v>33</v>
      </c>
      <c r="M509">
        <v>2</v>
      </c>
      <c r="N509">
        <v>4</v>
      </c>
      <c r="O509" t="s">
        <v>2531</v>
      </c>
    </row>
    <row r="510" spans="1:15">
      <c r="A510" t="s">
        <v>1511</v>
      </c>
      <c r="B510" t="s">
        <v>67</v>
      </c>
      <c r="C510">
        <v>1</v>
      </c>
      <c r="D510">
        <v>32.1</v>
      </c>
      <c r="E510">
        <v>32.1</v>
      </c>
      <c r="F510" s="12">
        <v>45710</v>
      </c>
      <c r="G510" s="12">
        <v>45710</v>
      </c>
      <c r="H510" t="s">
        <v>27</v>
      </c>
      <c r="I510" t="s">
        <v>51</v>
      </c>
      <c r="J510">
        <v>1</v>
      </c>
      <c r="K510" t="s">
        <v>19</v>
      </c>
      <c r="L510" t="s">
        <v>33</v>
      </c>
      <c r="M510">
        <v>0</v>
      </c>
      <c r="N510">
        <v>8</v>
      </c>
      <c r="O510" t="s">
        <v>2530</v>
      </c>
    </row>
    <row r="511" spans="1:15">
      <c r="A511" t="s">
        <v>1510</v>
      </c>
      <c r="B511" t="s">
        <v>32</v>
      </c>
      <c r="C511">
        <v>2</v>
      </c>
      <c r="D511">
        <v>44</v>
      </c>
      <c r="E511">
        <v>88</v>
      </c>
      <c r="F511" s="12">
        <v>45710</v>
      </c>
      <c r="G511" s="12">
        <v>45711</v>
      </c>
      <c r="H511" t="s">
        <v>89</v>
      </c>
      <c r="I511" t="s">
        <v>70</v>
      </c>
      <c r="J511">
        <v>3</v>
      </c>
      <c r="K511" t="s">
        <v>19</v>
      </c>
      <c r="L511" t="s">
        <v>33</v>
      </c>
      <c r="M511">
        <v>1</v>
      </c>
      <c r="N511">
        <v>8</v>
      </c>
      <c r="O511" t="s">
        <v>2532</v>
      </c>
    </row>
    <row r="512" spans="1:15">
      <c r="A512" t="s">
        <v>1509</v>
      </c>
      <c r="B512" t="s">
        <v>26</v>
      </c>
      <c r="C512">
        <v>1</v>
      </c>
      <c r="D512">
        <v>161.9</v>
      </c>
      <c r="E512">
        <v>161.9</v>
      </c>
      <c r="F512" s="12">
        <v>45710</v>
      </c>
      <c r="G512" s="12">
        <v>45712</v>
      </c>
      <c r="H512" t="s">
        <v>23</v>
      </c>
      <c r="I512" t="s">
        <v>40</v>
      </c>
      <c r="J512">
        <v>4</v>
      </c>
      <c r="K512" t="s">
        <v>19</v>
      </c>
      <c r="L512" t="s">
        <v>33</v>
      </c>
      <c r="M512">
        <v>2</v>
      </c>
      <c r="N512">
        <v>8</v>
      </c>
      <c r="O512" t="s">
        <v>2531</v>
      </c>
    </row>
    <row r="513" spans="1:15">
      <c r="A513" t="s">
        <v>1508</v>
      </c>
      <c r="B513" t="s">
        <v>26</v>
      </c>
      <c r="C513">
        <v>3</v>
      </c>
      <c r="D513">
        <v>74.099999999999994</v>
      </c>
      <c r="E513">
        <v>222.29999999999998</v>
      </c>
      <c r="F513" s="12">
        <v>45710</v>
      </c>
      <c r="G513" s="12">
        <v>45710</v>
      </c>
      <c r="H513" t="s">
        <v>23</v>
      </c>
      <c r="I513" t="s">
        <v>70</v>
      </c>
      <c r="J513">
        <v>3</v>
      </c>
      <c r="K513" t="s">
        <v>19</v>
      </c>
      <c r="L513" t="s">
        <v>33</v>
      </c>
      <c r="M513">
        <v>0</v>
      </c>
      <c r="N513">
        <v>8</v>
      </c>
      <c r="O513" t="s">
        <v>2531</v>
      </c>
    </row>
    <row r="514" spans="1:15">
      <c r="A514" t="s">
        <v>1507</v>
      </c>
      <c r="B514" t="s">
        <v>46</v>
      </c>
      <c r="C514">
        <v>1</v>
      </c>
      <c r="D514">
        <v>88</v>
      </c>
      <c r="E514">
        <v>88</v>
      </c>
      <c r="F514" s="12">
        <v>45710</v>
      </c>
      <c r="G514" s="12">
        <v>45715</v>
      </c>
      <c r="H514" t="s">
        <v>27</v>
      </c>
      <c r="I514" t="s">
        <v>51</v>
      </c>
      <c r="J514">
        <v>4</v>
      </c>
      <c r="K514" t="s">
        <v>19</v>
      </c>
      <c r="L514" t="s">
        <v>33</v>
      </c>
      <c r="M514">
        <v>5</v>
      </c>
      <c r="N514">
        <v>8</v>
      </c>
      <c r="O514" t="s">
        <v>2530</v>
      </c>
    </row>
    <row r="515" spans="1:15">
      <c r="A515" t="s">
        <v>1506</v>
      </c>
      <c r="B515" t="s">
        <v>30</v>
      </c>
      <c r="C515">
        <v>1</v>
      </c>
      <c r="D515">
        <v>70</v>
      </c>
      <c r="E515">
        <v>70</v>
      </c>
      <c r="F515" s="12">
        <v>45710</v>
      </c>
      <c r="G515" s="12">
        <v>45711</v>
      </c>
      <c r="H515" t="s">
        <v>27</v>
      </c>
      <c r="I515" t="s">
        <v>18</v>
      </c>
      <c r="J515">
        <v>4</v>
      </c>
      <c r="K515" t="s">
        <v>19</v>
      </c>
      <c r="L515" t="s">
        <v>33</v>
      </c>
      <c r="M515">
        <v>1</v>
      </c>
      <c r="N515">
        <v>8</v>
      </c>
      <c r="O515" t="s">
        <v>2530</v>
      </c>
    </row>
    <row r="516" spans="1:15">
      <c r="A516" t="s">
        <v>1505</v>
      </c>
      <c r="B516" t="s">
        <v>22</v>
      </c>
      <c r="C516">
        <v>2</v>
      </c>
      <c r="D516">
        <v>33.799999999999997</v>
      </c>
      <c r="E516">
        <v>67.599999999999994</v>
      </c>
      <c r="F516" s="12">
        <v>45710</v>
      </c>
      <c r="G516" s="12">
        <v>45714</v>
      </c>
      <c r="H516" t="s">
        <v>27</v>
      </c>
      <c r="I516" t="s">
        <v>35</v>
      </c>
      <c r="J516">
        <v>4</v>
      </c>
      <c r="K516" t="s">
        <v>19</v>
      </c>
      <c r="L516" t="s">
        <v>33</v>
      </c>
      <c r="M516">
        <v>4</v>
      </c>
      <c r="N516">
        <v>8</v>
      </c>
      <c r="O516" t="s">
        <v>2530</v>
      </c>
    </row>
    <row r="517" spans="1:15">
      <c r="A517" t="s">
        <v>1504</v>
      </c>
      <c r="B517" t="s">
        <v>44</v>
      </c>
      <c r="C517">
        <v>6</v>
      </c>
      <c r="D517">
        <v>16</v>
      </c>
      <c r="E517">
        <v>96</v>
      </c>
      <c r="F517" s="12">
        <v>45710</v>
      </c>
      <c r="G517" s="12">
        <v>45713</v>
      </c>
      <c r="H517" t="s">
        <v>23</v>
      </c>
      <c r="I517" t="s">
        <v>35</v>
      </c>
      <c r="J517">
        <v>4</v>
      </c>
      <c r="K517" t="s">
        <v>19</v>
      </c>
      <c r="L517" t="s">
        <v>33</v>
      </c>
      <c r="M517">
        <v>3</v>
      </c>
      <c r="N517">
        <v>8</v>
      </c>
      <c r="O517" t="s">
        <v>2531</v>
      </c>
    </row>
    <row r="518" spans="1:15">
      <c r="A518" t="s">
        <v>1503</v>
      </c>
      <c r="B518" t="s">
        <v>26</v>
      </c>
      <c r="C518">
        <v>4</v>
      </c>
      <c r="D518">
        <v>85.2</v>
      </c>
      <c r="E518">
        <v>340.8</v>
      </c>
      <c r="F518" s="12">
        <v>45710</v>
      </c>
      <c r="G518" s="12">
        <v>45715</v>
      </c>
      <c r="H518" t="s">
        <v>23</v>
      </c>
      <c r="I518" t="s">
        <v>40</v>
      </c>
      <c r="J518">
        <v>4</v>
      </c>
      <c r="K518" t="s">
        <v>19</v>
      </c>
      <c r="L518" t="s">
        <v>33</v>
      </c>
      <c r="M518">
        <v>5</v>
      </c>
      <c r="N518">
        <v>8</v>
      </c>
      <c r="O518" t="s">
        <v>2531</v>
      </c>
    </row>
    <row r="519" spans="1:15">
      <c r="A519" t="s">
        <v>1502</v>
      </c>
      <c r="B519" t="s">
        <v>44</v>
      </c>
      <c r="C519">
        <v>5</v>
      </c>
      <c r="D519">
        <v>39.299999999999997</v>
      </c>
      <c r="E519">
        <v>196.5</v>
      </c>
      <c r="F519" s="12">
        <v>45710</v>
      </c>
      <c r="G519" s="12">
        <v>45711</v>
      </c>
      <c r="H519" t="s">
        <v>27</v>
      </c>
      <c r="I519" t="s">
        <v>18</v>
      </c>
      <c r="J519">
        <v>4</v>
      </c>
      <c r="K519" t="s">
        <v>19</v>
      </c>
      <c r="L519" t="s">
        <v>33</v>
      </c>
      <c r="M519">
        <v>1</v>
      </c>
      <c r="N519">
        <v>8</v>
      </c>
      <c r="O519" t="s">
        <v>2530</v>
      </c>
    </row>
    <row r="520" spans="1:15">
      <c r="A520" t="s">
        <v>1501</v>
      </c>
      <c r="B520" t="s">
        <v>16</v>
      </c>
      <c r="C520">
        <v>4</v>
      </c>
      <c r="D520">
        <v>23.1</v>
      </c>
      <c r="E520">
        <v>92.4</v>
      </c>
      <c r="F520" s="12">
        <v>45710</v>
      </c>
      <c r="G520" s="12">
        <v>45711</v>
      </c>
      <c r="H520" t="s">
        <v>27</v>
      </c>
      <c r="I520" t="s">
        <v>70</v>
      </c>
      <c r="J520">
        <v>4</v>
      </c>
      <c r="K520" t="s">
        <v>19</v>
      </c>
      <c r="L520" t="s">
        <v>33</v>
      </c>
      <c r="M520">
        <v>1</v>
      </c>
      <c r="N520">
        <v>8</v>
      </c>
      <c r="O520" t="s">
        <v>2530</v>
      </c>
    </row>
    <row r="521" spans="1:15">
      <c r="A521" t="s">
        <v>1500</v>
      </c>
      <c r="B521" t="s">
        <v>16</v>
      </c>
      <c r="C521">
        <v>2</v>
      </c>
      <c r="D521">
        <v>40.799999999999997</v>
      </c>
      <c r="E521">
        <v>81.599999999999994</v>
      </c>
      <c r="F521" s="12">
        <v>45710</v>
      </c>
      <c r="G521" s="12">
        <v>45713</v>
      </c>
      <c r="H521" t="s">
        <v>23</v>
      </c>
      <c r="I521" t="s">
        <v>18</v>
      </c>
      <c r="J521">
        <v>4</v>
      </c>
      <c r="K521" t="s">
        <v>19</v>
      </c>
      <c r="L521" t="s">
        <v>33</v>
      </c>
      <c r="M521">
        <v>3</v>
      </c>
      <c r="N521">
        <v>8</v>
      </c>
      <c r="O521" t="s">
        <v>2531</v>
      </c>
    </row>
    <row r="522" spans="1:15">
      <c r="A522" t="s">
        <v>1499</v>
      </c>
      <c r="B522" t="s">
        <v>22</v>
      </c>
      <c r="C522">
        <v>4</v>
      </c>
      <c r="D522">
        <v>37.5</v>
      </c>
      <c r="E522">
        <v>150</v>
      </c>
      <c r="F522" s="12">
        <v>45710</v>
      </c>
      <c r="G522" s="12">
        <v>45710</v>
      </c>
      <c r="H522" t="s">
        <v>27</v>
      </c>
      <c r="I522" t="s">
        <v>18</v>
      </c>
      <c r="J522">
        <v>4</v>
      </c>
      <c r="K522" t="s">
        <v>19</v>
      </c>
      <c r="L522" t="s">
        <v>33</v>
      </c>
      <c r="M522">
        <v>0</v>
      </c>
      <c r="N522">
        <v>8</v>
      </c>
      <c r="O522" t="s">
        <v>2530</v>
      </c>
    </row>
    <row r="523" spans="1:15">
      <c r="A523" t="s">
        <v>612</v>
      </c>
      <c r="B523" t="s">
        <v>42</v>
      </c>
      <c r="C523">
        <v>3</v>
      </c>
      <c r="D523">
        <v>65.599999999999994</v>
      </c>
      <c r="E523">
        <v>196.79999999999998</v>
      </c>
      <c r="F523" s="12">
        <v>45680</v>
      </c>
      <c r="G523" s="12">
        <v>45680</v>
      </c>
      <c r="H523" t="s">
        <v>27</v>
      </c>
      <c r="I523" t="s">
        <v>40</v>
      </c>
      <c r="J523">
        <v>3</v>
      </c>
      <c r="K523" t="s">
        <v>19</v>
      </c>
      <c r="L523" t="s">
        <v>33</v>
      </c>
      <c r="M523">
        <v>0</v>
      </c>
      <c r="N523">
        <v>4</v>
      </c>
      <c r="O523" t="s">
        <v>2530</v>
      </c>
    </row>
    <row r="524" spans="1:15">
      <c r="A524" t="s">
        <v>613</v>
      </c>
      <c r="B524" t="s">
        <v>26</v>
      </c>
      <c r="C524">
        <v>2</v>
      </c>
      <c r="D524">
        <v>57.3</v>
      </c>
      <c r="E524">
        <v>114.6</v>
      </c>
      <c r="F524" s="12">
        <v>45680</v>
      </c>
      <c r="G524" s="12">
        <v>45680</v>
      </c>
      <c r="H524" t="s">
        <v>17</v>
      </c>
      <c r="I524" t="s">
        <v>18</v>
      </c>
      <c r="J524">
        <v>4</v>
      </c>
      <c r="K524" t="s">
        <v>19</v>
      </c>
      <c r="L524" t="s">
        <v>33</v>
      </c>
      <c r="M524">
        <v>0</v>
      </c>
      <c r="N524">
        <v>4</v>
      </c>
      <c r="O524" t="s">
        <v>2533</v>
      </c>
    </row>
    <row r="525" spans="1:15">
      <c r="A525" t="s">
        <v>614</v>
      </c>
      <c r="B525" t="s">
        <v>46</v>
      </c>
      <c r="C525">
        <v>4</v>
      </c>
      <c r="D525">
        <v>22.4</v>
      </c>
      <c r="E525">
        <v>89.6</v>
      </c>
      <c r="F525" s="12">
        <v>45680</v>
      </c>
      <c r="G525" s="12">
        <v>45681</v>
      </c>
      <c r="H525" t="s">
        <v>27</v>
      </c>
      <c r="I525" t="s">
        <v>40</v>
      </c>
      <c r="J525">
        <v>5</v>
      </c>
      <c r="K525" t="s">
        <v>19</v>
      </c>
      <c r="L525" t="s">
        <v>33</v>
      </c>
      <c r="M525">
        <v>1</v>
      </c>
      <c r="N525">
        <v>4</v>
      </c>
      <c r="O525" t="s">
        <v>2530</v>
      </c>
    </row>
    <row r="526" spans="1:15">
      <c r="A526" t="s">
        <v>615</v>
      </c>
      <c r="B526" t="s">
        <v>69</v>
      </c>
      <c r="C526">
        <v>9</v>
      </c>
      <c r="D526">
        <v>45.7</v>
      </c>
      <c r="E526">
        <v>411.3</v>
      </c>
      <c r="F526" s="12">
        <v>45680</v>
      </c>
      <c r="G526" s="12">
        <v>45681</v>
      </c>
      <c r="H526" t="s">
        <v>27</v>
      </c>
      <c r="I526" t="s">
        <v>18</v>
      </c>
      <c r="J526">
        <v>4</v>
      </c>
      <c r="K526" t="s">
        <v>19</v>
      </c>
      <c r="L526" t="s">
        <v>33</v>
      </c>
      <c r="M526">
        <v>1</v>
      </c>
      <c r="N526">
        <v>4</v>
      </c>
      <c r="O526" t="s">
        <v>2530</v>
      </c>
    </row>
    <row r="527" spans="1:15">
      <c r="A527" t="s">
        <v>616</v>
      </c>
      <c r="B527" t="s">
        <v>44</v>
      </c>
      <c r="C527">
        <v>2</v>
      </c>
      <c r="D527">
        <v>29.3</v>
      </c>
      <c r="E527">
        <v>58.6</v>
      </c>
      <c r="F527" s="12">
        <v>45680</v>
      </c>
      <c r="G527" s="12">
        <v>45681</v>
      </c>
      <c r="H527" t="s">
        <v>23</v>
      </c>
      <c r="I527" t="s">
        <v>35</v>
      </c>
      <c r="J527">
        <v>4</v>
      </c>
      <c r="K527" t="s">
        <v>19</v>
      </c>
      <c r="L527" t="s">
        <v>33</v>
      </c>
      <c r="M527">
        <v>1</v>
      </c>
      <c r="N527">
        <v>4</v>
      </c>
      <c r="O527" t="s">
        <v>2531</v>
      </c>
    </row>
    <row r="528" spans="1:15">
      <c r="A528" t="s">
        <v>617</v>
      </c>
      <c r="B528" t="s">
        <v>146</v>
      </c>
      <c r="C528">
        <v>22</v>
      </c>
      <c r="D528">
        <v>74</v>
      </c>
      <c r="E528">
        <v>1628</v>
      </c>
      <c r="F528" s="12">
        <v>45680</v>
      </c>
      <c r="G528" s="12">
        <v>45681</v>
      </c>
      <c r="H528" t="s">
        <v>23</v>
      </c>
      <c r="I528" t="s">
        <v>18</v>
      </c>
      <c r="J528">
        <v>5</v>
      </c>
      <c r="K528" t="s">
        <v>19</v>
      </c>
      <c r="L528" t="s">
        <v>33</v>
      </c>
      <c r="M528">
        <v>1</v>
      </c>
      <c r="N528">
        <v>4</v>
      </c>
      <c r="O528" t="s">
        <v>2531</v>
      </c>
    </row>
    <row r="529" spans="1:15">
      <c r="A529" t="s">
        <v>618</v>
      </c>
      <c r="B529" t="s">
        <v>81</v>
      </c>
      <c r="C529">
        <v>2</v>
      </c>
      <c r="D529">
        <v>39.200000000000003</v>
      </c>
      <c r="E529">
        <v>78.400000000000006</v>
      </c>
      <c r="F529" s="12">
        <v>45680</v>
      </c>
      <c r="G529" s="12">
        <v>45682</v>
      </c>
      <c r="H529" t="s">
        <v>27</v>
      </c>
      <c r="I529" t="s">
        <v>35</v>
      </c>
      <c r="J529">
        <v>4</v>
      </c>
      <c r="K529" t="s">
        <v>19</v>
      </c>
      <c r="L529" t="s">
        <v>33</v>
      </c>
      <c r="M529">
        <v>2</v>
      </c>
      <c r="N529">
        <v>4</v>
      </c>
      <c r="O529" t="s">
        <v>2530</v>
      </c>
    </row>
    <row r="530" spans="1:15">
      <c r="A530" t="s">
        <v>619</v>
      </c>
      <c r="B530" t="s">
        <v>32</v>
      </c>
      <c r="C530">
        <v>17</v>
      </c>
      <c r="D530">
        <v>62.7</v>
      </c>
      <c r="E530">
        <v>1065.9000000000001</v>
      </c>
      <c r="F530" s="12">
        <v>45680</v>
      </c>
      <c r="G530" s="12">
        <v>45681</v>
      </c>
      <c r="H530" t="s">
        <v>27</v>
      </c>
      <c r="I530" t="s">
        <v>40</v>
      </c>
      <c r="J530">
        <v>3</v>
      </c>
      <c r="K530" t="s">
        <v>19</v>
      </c>
      <c r="L530" t="s">
        <v>33</v>
      </c>
      <c r="M530">
        <v>1</v>
      </c>
      <c r="N530">
        <v>4</v>
      </c>
      <c r="O530" t="s">
        <v>2530</v>
      </c>
    </row>
    <row r="531" spans="1:15">
      <c r="A531" t="s">
        <v>620</v>
      </c>
      <c r="B531" t="s">
        <v>54</v>
      </c>
      <c r="C531">
        <v>2</v>
      </c>
      <c r="D531">
        <v>60.1</v>
      </c>
      <c r="E531">
        <v>120.2</v>
      </c>
      <c r="F531" s="12">
        <v>45680</v>
      </c>
      <c r="G531" s="12">
        <v>45681</v>
      </c>
      <c r="H531" t="s">
        <v>27</v>
      </c>
      <c r="I531" t="s">
        <v>51</v>
      </c>
      <c r="J531">
        <v>4</v>
      </c>
      <c r="K531" t="s">
        <v>19</v>
      </c>
      <c r="L531" t="s">
        <v>33</v>
      </c>
      <c r="M531">
        <v>1</v>
      </c>
      <c r="N531">
        <v>4</v>
      </c>
      <c r="O531" t="s">
        <v>2530</v>
      </c>
    </row>
    <row r="532" spans="1:15">
      <c r="A532" t="s">
        <v>621</v>
      </c>
      <c r="B532" t="s">
        <v>16</v>
      </c>
      <c r="C532">
        <v>4</v>
      </c>
      <c r="D532">
        <v>11.2</v>
      </c>
      <c r="E532">
        <v>44.8</v>
      </c>
      <c r="F532" s="12">
        <v>45680</v>
      </c>
      <c r="G532" s="12">
        <v>45681</v>
      </c>
      <c r="H532" t="s">
        <v>27</v>
      </c>
      <c r="I532" t="s">
        <v>51</v>
      </c>
      <c r="J532">
        <v>3</v>
      </c>
      <c r="K532" t="s">
        <v>19</v>
      </c>
      <c r="L532" t="s">
        <v>33</v>
      </c>
      <c r="M532">
        <v>1</v>
      </c>
      <c r="N532">
        <v>4</v>
      </c>
      <c r="O532" t="s">
        <v>2530</v>
      </c>
    </row>
    <row r="533" spans="1:15">
      <c r="A533" t="s">
        <v>1469</v>
      </c>
      <c r="B533" t="s">
        <v>54</v>
      </c>
      <c r="C533">
        <v>5</v>
      </c>
      <c r="D533">
        <v>33.799999999999997</v>
      </c>
      <c r="E533">
        <v>169</v>
      </c>
      <c r="F533" s="12">
        <v>45709</v>
      </c>
      <c r="G533" s="12">
        <v>45714</v>
      </c>
      <c r="H533" t="s">
        <v>23</v>
      </c>
      <c r="I533" t="s">
        <v>18</v>
      </c>
      <c r="J533">
        <v>4</v>
      </c>
      <c r="K533" t="s">
        <v>19</v>
      </c>
      <c r="L533" t="s">
        <v>33</v>
      </c>
      <c r="M533">
        <v>5</v>
      </c>
      <c r="N533">
        <v>8</v>
      </c>
      <c r="O533" t="s">
        <v>2531</v>
      </c>
    </row>
    <row r="534" spans="1:15">
      <c r="A534" t="s">
        <v>1468</v>
      </c>
      <c r="B534" t="s">
        <v>22</v>
      </c>
      <c r="C534">
        <v>2</v>
      </c>
      <c r="D534">
        <v>105.3</v>
      </c>
      <c r="E534">
        <v>210.6</v>
      </c>
      <c r="F534" s="12">
        <v>45709</v>
      </c>
      <c r="G534" s="12">
        <v>45713</v>
      </c>
      <c r="H534" t="s">
        <v>23</v>
      </c>
      <c r="I534" t="s">
        <v>18</v>
      </c>
      <c r="J534">
        <v>3</v>
      </c>
      <c r="K534" t="s">
        <v>19</v>
      </c>
      <c r="L534" t="s">
        <v>33</v>
      </c>
      <c r="M534">
        <v>4</v>
      </c>
      <c r="N534">
        <v>8</v>
      </c>
      <c r="O534" t="s">
        <v>2531</v>
      </c>
    </row>
    <row r="535" spans="1:15">
      <c r="A535" t="s">
        <v>1467</v>
      </c>
      <c r="B535" t="s">
        <v>30</v>
      </c>
      <c r="C535">
        <v>4</v>
      </c>
      <c r="D535">
        <v>66.5</v>
      </c>
      <c r="E535">
        <v>266</v>
      </c>
      <c r="F535" s="12">
        <v>45709</v>
      </c>
      <c r="G535" s="12">
        <v>45709</v>
      </c>
      <c r="H535" t="s">
        <v>27</v>
      </c>
      <c r="I535" t="s">
        <v>18</v>
      </c>
      <c r="J535">
        <v>5</v>
      </c>
      <c r="K535" t="s">
        <v>19</v>
      </c>
      <c r="L535" t="s">
        <v>33</v>
      </c>
      <c r="M535">
        <v>0</v>
      </c>
      <c r="N535">
        <v>8</v>
      </c>
      <c r="O535" t="s">
        <v>2530</v>
      </c>
    </row>
    <row r="536" spans="1:15">
      <c r="A536" t="s">
        <v>1466</v>
      </c>
      <c r="B536" t="s">
        <v>146</v>
      </c>
      <c r="C536">
        <v>2</v>
      </c>
      <c r="D536">
        <v>56.7</v>
      </c>
      <c r="E536">
        <v>113.4</v>
      </c>
      <c r="F536" s="12">
        <v>45709</v>
      </c>
      <c r="G536" s="12">
        <v>45711</v>
      </c>
      <c r="H536" t="s">
        <v>17</v>
      </c>
      <c r="I536" t="s">
        <v>18</v>
      </c>
      <c r="J536">
        <v>5</v>
      </c>
      <c r="K536" t="s">
        <v>19</v>
      </c>
      <c r="L536" t="s">
        <v>33</v>
      </c>
      <c r="M536">
        <v>2</v>
      </c>
      <c r="N536">
        <v>8</v>
      </c>
      <c r="O536" t="s">
        <v>2533</v>
      </c>
    </row>
    <row r="537" spans="1:15">
      <c r="A537" t="s">
        <v>1465</v>
      </c>
      <c r="B537" t="s">
        <v>26</v>
      </c>
      <c r="C537">
        <v>2</v>
      </c>
      <c r="D537">
        <v>81.7</v>
      </c>
      <c r="E537">
        <v>163.4</v>
      </c>
      <c r="F537" s="12">
        <v>45709</v>
      </c>
      <c r="G537" s="12">
        <v>45709</v>
      </c>
      <c r="H537" t="s">
        <v>23</v>
      </c>
      <c r="I537" t="s">
        <v>18</v>
      </c>
      <c r="J537">
        <v>4</v>
      </c>
      <c r="K537" t="s">
        <v>19</v>
      </c>
      <c r="L537" t="s">
        <v>33</v>
      </c>
      <c r="M537">
        <v>0</v>
      </c>
      <c r="N537">
        <v>8</v>
      </c>
      <c r="O537" t="s">
        <v>2531</v>
      </c>
    </row>
    <row r="538" spans="1:15">
      <c r="A538" t="s">
        <v>1464</v>
      </c>
      <c r="B538" t="s">
        <v>44</v>
      </c>
      <c r="C538">
        <v>4</v>
      </c>
      <c r="D538">
        <v>28.4</v>
      </c>
      <c r="E538">
        <v>113.6</v>
      </c>
      <c r="F538" s="12">
        <v>45709</v>
      </c>
      <c r="G538" s="12">
        <v>45715</v>
      </c>
      <c r="H538" t="s">
        <v>23</v>
      </c>
      <c r="I538" t="s">
        <v>40</v>
      </c>
      <c r="J538">
        <v>4</v>
      </c>
      <c r="K538" t="s">
        <v>19</v>
      </c>
      <c r="L538" t="s">
        <v>33</v>
      </c>
      <c r="M538">
        <v>6</v>
      </c>
      <c r="N538">
        <v>8</v>
      </c>
      <c r="O538" t="s">
        <v>2531</v>
      </c>
    </row>
    <row r="539" spans="1:15">
      <c r="A539" t="s">
        <v>1437</v>
      </c>
      <c r="B539" t="s">
        <v>46</v>
      </c>
      <c r="C539">
        <v>5</v>
      </c>
      <c r="D539">
        <v>68.900000000000006</v>
      </c>
      <c r="E539">
        <v>344.5</v>
      </c>
      <c r="F539" s="12">
        <v>45708</v>
      </c>
      <c r="G539" s="12">
        <v>45710</v>
      </c>
      <c r="H539" t="s">
        <v>23</v>
      </c>
      <c r="I539" t="s">
        <v>70</v>
      </c>
      <c r="J539">
        <v>3</v>
      </c>
      <c r="K539" t="s">
        <v>19</v>
      </c>
      <c r="L539" t="s">
        <v>33</v>
      </c>
      <c r="M539">
        <v>2</v>
      </c>
      <c r="N539">
        <v>8</v>
      </c>
      <c r="O539" t="s">
        <v>2531</v>
      </c>
    </row>
    <row r="540" spans="1:15">
      <c r="A540" t="s">
        <v>1436</v>
      </c>
      <c r="B540" t="s">
        <v>37</v>
      </c>
      <c r="C540">
        <v>1</v>
      </c>
      <c r="D540">
        <v>54.5</v>
      </c>
      <c r="E540">
        <v>54.5</v>
      </c>
      <c r="F540" s="12">
        <v>45708</v>
      </c>
      <c r="G540" s="12">
        <v>45710</v>
      </c>
      <c r="H540" t="s">
        <v>23</v>
      </c>
      <c r="I540" t="s">
        <v>18</v>
      </c>
      <c r="J540">
        <v>4</v>
      </c>
      <c r="K540" t="s">
        <v>19</v>
      </c>
      <c r="L540" t="s">
        <v>33</v>
      </c>
      <c r="M540">
        <v>2</v>
      </c>
      <c r="N540">
        <v>8</v>
      </c>
      <c r="O540" t="s">
        <v>2531</v>
      </c>
    </row>
    <row r="541" spans="1:15">
      <c r="A541" t="s">
        <v>1435</v>
      </c>
      <c r="B541" t="s">
        <v>44</v>
      </c>
      <c r="C541">
        <v>1</v>
      </c>
      <c r="D541">
        <v>19</v>
      </c>
      <c r="E541">
        <v>19</v>
      </c>
      <c r="F541" s="12">
        <v>45708</v>
      </c>
      <c r="G541" s="12">
        <v>45709</v>
      </c>
      <c r="H541" t="s">
        <v>27</v>
      </c>
      <c r="I541" t="s">
        <v>18</v>
      </c>
      <c r="J541">
        <v>5</v>
      </c>
      <c r="K541" t="s">
        <v>19</v>
      </c>
      <c r="L541" t="s">
        <v>33</v>
      </c>
      <c r="M541">
        <v>1</v>
      </c>
      <c r="N541">
        <v>8</v>
      </c>
      <c r="O541" t="s">
        <v>2530</v>
      </c>
    </row>
    <row r="542" spans="1:15">
      <c r="A542" t="s">
        <v>1434</v>
      </c>
      <c r="B542" t="s">
        <v>67</v>
      </c>
      <c r="C542">
        <v>3</v>
      </c>
      <c r="D542">
        <v>31.8</v>
      </c>
      <c r="E542">
        <v>95.4</v>
      </c>
      <c r="F542" s="12">
        <v>45708</v>
      </c>
      <c r="G542" s="12">
        <v>45710</v>
      </c>
      <c r="H542" t="s">
        <v>23</v>
      </c>
      <c r="I542" t="s">
        <v>18</v>
      </c>
      <c r="J542">
        <v>5</v>
      </c>
      <c r="K542" t="s">
        <v>19</v>
      </c>
      <c r="L542" t="s">
        <v>33</v>
      </c>
      <c r="M542">
        <v>2</v>
      </c>
      <c r="N542">
        <v>8</v>
      </c>
      <c r="O542" t="s">
        <v>2531</v>
      </c>
    </row>
    <row r="543" spans="1:15">
      <c r="A543" t="s">
        <v>1433</v>
      </c>
      <c r="B543" t="s">
        <v>46</v>
      </c>
      <c r="C543">
        <v>21</v>
      </c>
      <c r="D543">
        <v>86.9</v>
      </c>
      <c r="E543">
        <v>1824.9</v>
      </c>
      <c r="F543" s="12">
        <v>45708</v>
      </c>
      <c r="G543" s="12">
        <v>45711</v>
      </c>
      <c r="H543" t="s">
        <v>27</v>
      </c>
      <c r="I543" t="s">
        <v>18</v>
      </c>
      <c r="J543">
        <v>3</v>
      </c>
      <c r="K543" t="s">
        <v>19</v>
      </c>
      <c r="L543" t="s">
        <v>33</v>
      </c>
      <c r="M543">
        <v>3</v>
      </c>
      <c r="N543">
        <v>8</v>
      </c>
      <c r="O543" t="s">
        <v>2530</v>
      </c>
    </row>
    <row r="544" spans="1:15">
      <c r="A544" t="s">
        <v>1432</v>
      </c>
      <c r="B544" t="s">
        <v>32</v>
      </c>
      <c r="C544">
        <v>6</v>
      </c>
      <c r="D544">
        <v>50.6</v>
      </c>
      <c r="E544">
        <v>303.60000000000002</v>
      </c>
      <c r="F544" s="12">
        <v>45708</v>
      </c>
      <c r="G544" s="12">
        <v>45712</v>
      </c>
      <c r="H544" t="s">
        <v>27</v>
      </c>
      <c r="I544" t="s">
        <v>40</v>
      </c>
      <c r="J544">
        <v>4</v>
      </c>
      <c r="K544" t="s">
        <v>19</v>
      </c>
      <c r="L544" t="s">
        <v>33</v>
      </c>
      <c r="M544">
        <v>4</v>
      </c>
      <c r="N544">
        <v>8</v>
      </c>
      <c r="O544" t="s">
        <v>2530</v>
      </c>
    </row>
    <row r="545" spans="1:15">
      <c r="A545" t="s">
        <v>1431</v>
      </c>
      <c r="B545" t="s">
        <v>32</v>
      </c>
      <c r="C545">
        <v>2</v>
      </c>
      <c r="D545">
        <v>21.3</v>
      </c>
      <c r="E545">
        <v>42.6</v>
      </c>
      <c r="F545" s="12">
        <v>45708</v>
      </c>
      <c r="G545" s="12">
        <v>45709</v>
      </c>
      <c r="H545" t="s">
        <v>23</v>
      </c>
      <c r="I545" t="s">
        <v>18</v>
      </c>
      <c r="J545">
        <v>4</v>
      </c>
      <c r="K545" t="s">
        <v>19</v>
      </c>
      <c r="L545" t="s">
        <v>33</v>
      </c>
      <c r="M545">
        <v>1</v>
      </c>
      <c r="N545">
        <v>8</v>
      </c>
      <c r="O545" t="s">
        <v>2531</v>
      </c>
    </row>
    <row r="546" spans="1:15">
      <c r="A546" t="s">
        <v>1430</v>
      </c>
      <c r="B546" t="s">
        <v>128</v>
      </c>
      <c r="C546">
        <v>2</v>
      </c>
      <c r="D546">
        <v>88.7</v>
      </c>
      <c r="E546">
        <v>177.4</v>
      </c>
      <c r="F546" s="12">
        <v>45708</v>
      </c>
      <c r="G546" s="12">
        <v>45709</v>
      </c>
      <c r="H546" t="s">
        <v>17</v>
      </c>
      <c r="I546" t="s">
        <v>51</v>
      </c>
      <c r="J546">
        <v>5</v>
      </c>
      <c r="K546" t="s">
        <v>19</v>
      </c>
      <c r="L546" t="s">
        <v>33</v>
      </c>
      <c r="M546">
        <v>1</v>
      </c>
      <c r="N546">
        <v>8</v>
      </c>
      <c r="O546" t="s">
        <v>2533</v>
      </c>
    </row>
    <row r="547" spans="1:15">
      <c r="A547" t="s">
        <v>1429</v>
      </c>
      <c r="B547" t="s">
        <v>37</v>
      </c>
      <c r="C547">
        <v>12</v>
      </c>
      <c r="D547">
        <v>32.6</v>
      </c>
      <c r="E547">
        <v>391.20000000000005</v>
      </c>
      <c r="F547" s="12">
        <v>45708</v>
      </c>
      <c r="G547" s="12">
        <v>45709</v>
      </c>
      <c r="H547" t="s">
        <v>23</v>
      </c>
      <c r="I547" t="s">
        <v>70</v>
      </c>
      <c r="J547">
        <v>4</v>
      </c>
      <c r="K547" t="s">
        <v>19</v>
      </c>
      <c r="L547" t="s">
        <v>33</v>
      </c>
      <c r="M547">
        <v>1</v>
      </c>
      <c r="N547">
        <v>8</v>
      </c>
      <c r="O547" t="s">
        <v>2531</v>
      </c>
    </row>
    <row r="548" spans="1:15">
      <c r="A548" t="s">
        <v>1428</v>
      </c>
      <c r="B548" t="s">
        <v>42</v>
      </c>
      <c r="C548">
        <v>4</v>
      </c>
      <c r="D548">
        <v>65.599999999999994</v>
      </c>
      <c r="E548">
        <v>262.39999999999998</v>
      </c>
      <c r="F548" s="12">
        <v>45708</v>
      </c>
      <c r="G548" s="12">
        <v>45709</v>
      </c>
      <c r="H548" t="s">
        <v>27</v>
      </c>
      <c r="I548" t="s">
        <v>35</v>
      </c>
      <c r="J548">
        <v>3</v>
      </c>
      <c r="K548" t="s">
        <v>19</v>
      </c>
      <c r="L548" t="s">
        <v>33</v>
      </c>
      <c r="M548">
        <v>1</v>
      </c>
      <c r="N548">
        <v>8</v>
      </c>
      <c r="O548" t="s">
        <v>2530</v>
      </c>
    </row>
    <row r="549" spans="1:15">
      <c r="A549" t="s">
        <v>1427</v>
      </c>
      <c r="B549" t="s">
        <v>54</v>
      </c>
      <c r="C549">
        <v>30</v>
      </c>
      <c r="D549">
        <v>44</v>
      </c>
      <c r="E549">
        <v>1320</v>
      </c>
      <c r="F549" s="12">
        <v>45708</v>
      </c>
      <c r="G549" s="12">
        <v>45714</v>
      </c>
      <c r="H549" t="s">
        <v>23</v>
      </c>
      <c r="I549" t="s">
        <v>70</v>
      </c>
      <c r="J549">
        <v>4</v>
      </c>
      <c r="K549" t="s">
        <v>19</v>
      </c>
      <c r="L549" t="s">
        <v>33</v>
      </c>
      <c r="M549">
        <v>6</v>
      </c>
      <c r="N549">
        <v>8</v>
      </c>
      <c r="O549" t="s">
        <v>2531</v>
      </c>
    </row>
    <row r="550" spans="1:15">
      <c r="A550" t="s">
        <v>1396</v>
      </c>
      <c r="B550" t="s">
        <v>67</v>
      </c>
      <c r="C550">
        <v>33</v>
      </c>
      <c r="D550">
        <v>47.2</v>
      </c>
      <c r="E550">
        <v>1557.6000000000001</v>
      </c>
      <c r="F550" s="12">
        <v>45707</v>
      </c>
      <c r="G550" s="12">
        <v>45710</v>
      </c>
      <c r="H550" t="s">
        <v>27</v>
      </c>
      <c r="I550" t="s">
        <v>35</v>
      </c>
      <c r="J550">
        <v>4</v>
      </c>
      <c r="K550" t="s">
        <v>19</v>
      </c>
      <c r="L550" t="s">
        <v>33</v>
      </c>
      <c r="M550">
        <v>3</v>
      </c>
      <c r="N550">
        <v>8</v>
      </c>
      <c r="O550" t="s">
        <v>2530</v>
      </c>
    </row>
    <row r="551" spans="1:15">
      <c r="A551" t="s">
        <v>1395</v>
      </c>
      <c r="B551" t="s">
        <v>54</v>
      </c>
      <c r="C551">
        <v>12</v>
      </c>
      <c r="D551">
        <v>56.8</v>
      </c>
      <c r="E551">
        <v>681.59999999999991</v>
      </c>
      <c r="F551" s="12">
        <v>45707</v>
      </c>
      <c r="G551" s="12">
        <v>45709</v>
      </c>
      <c r="H551" t="s">
        <v>23</v>
      </c>
      <c r="I551" t="s">
        <v>35</v>
      </c>
      <c r="J551">
        <v>4</v>
      </c>
      <c r="K551" t="s">
        <v>19</v>
      </c>
      <c r="L551" t="s">
        <v>33</v>
      </c>
      <c r="M551">
        <v>2</v>
      </c>
      <c r="N551">
        <v>8</v>
      </c>
      <c r="O551" t="s">
        <v>2531</v>
      </c>
    </row>
    <row r="552" spans="1:15">
      <c r="A552" t="s">
        <v>1394</v>
      </c>
      <c r="B552" t="s">
        <v>37</v>
      </c>
      <c r="C552">
        <v>3</v>
      </c>
      <c r="D552">
        <v>54.8</v>
      </c>
      <c r="E552">
        <v>164.39999999999998</v>
      </c>
      <c r="F552" s="12">
        <v>45707</v>
      </c>
      <c r="G552" s="12">
        <v>45711</v>
      </c>
      <c r="H552" t="s">
        <v>17</v>
      </c>
      <c r="I552" t="s">
        <v>18</v>
      </c>
      <c r="J552">
        <v>3</v>
      </c>
      <c r="K552" t="s">
        <v>19</v>
      </c>
      <c r="L552" t="s">
        <v>33</v>
      </c>
      <c r="M552">
        <v>4</v>
      </c>
      <c r="N552">
        <v>8</v>
      </c>
      <c r="O552" t="s">
        <v>2533</v>
      </c>
    </row>
    <row r="553" spans="1:15">
      <c r="A553" t="s">
        <v>1393</v>
      </c>
      <c r="B553" t="s">
        <v>54</v>
      </c>
      <c r="C553">
        <v>2</v>
      </c>
      <c r="D553">
        <v>38</v>
      </c>
      <c r="E553">
        <v>76</v>
      </c>
      <c r="F553" s="12">
        <v>45707</v>
      </c>
      <c r="G553" s="12">
        <v>45708</v>
      </c>
      <c r="H553" t="s">
        <v>23</v>
      </c>
      <c r="I553" t="s">
        <v>35</v>
      </c>
      <c r="J553">
        <v>3</v>
      </c>
      <c r="K553" t="s">
        <v>19</v>
      </c>
      <c r="L553" t="s">
        <v>33</v>
      </c>
      <c r="M553">
        <v>1</v>
      </c>
      <c r="N553">
        <v>8</v>
      </c>
      <c r="O553" t="s">
        <v>2531</v>
      </c>
    </row>
    <row r="554" spans="1:15">
      <c r="A554" t="s">
        <v>644</v>
      </c>
      <c r="B554" t="s">
        <v>39</v>
      </c>
      <c r="C554">
        <v>7</v>
      </c>
      <c r="D554">
        <v>64.900000000000006</v>
      </c>
      <c r="E554">
        <v>454.30000000000007</v>
      </c>
      <c r="F554" s="12">
        <v>45681</v>
      </c>
      <c r="G554" s="12">
        <v>45682</v>
      </c>
      <c r="H554" t="s">
        <v>27</v>
      </c>
      <c r="I554" t="s">
        <v>18</v>
      </c>
      <c r="J554">
        <v>4</v>
      </c>
      <c r="K554" t="s">
        <v>19</v>
      </c>
      <c r="L554" t="s">
        <v>33</v>
      </c>
      <c r="M554">
        <v>1</v>
      </c>
      <c r="N554">
        <v>4</v>
      </c>
      <c r="O554" t="s">
        <v>2530</v>
      </c>
    </row>
    <row r="555" spans="1:15">
      <c r="A555" t="s">
        <v>645</v>
      </c>
      <c r="B555" t="s">
        <v>69</v>
      </c>
      <c r="C555">
        <v>1</v>
      </c>
      <c r="D555">
        <v>52.9</v>
      </c>
      <c r="E555">
        <v>52.9</v>
      </c>
      <c r="F555" s="12">
        <v>45681</v>
      </c>
      <c r="G555" s="12">
        <v>45681</v>
      </c>
      <c r="H555" t="s">
        <v>27</v>
      </c>
      <c r="I555" t="s">
        <v>35</v>
      </c>
      <c r="J555">
        <v>3</v>
      </c>
      <c r="K555" t="s">
        <v>19</v>
      </c>
      <c r="L555" t="s">
        <v>33</v>
      </c>
      <c r="M555">
        <v>0</v>
      </c>
      <c r="N555">
        <v>4</v>
      </c>
      <c r="O555" t="s">
        <v>2530</v>
      </c>
    </row>
    <row r="556" spans="1:15">
      <c r="A556" t="s">
        <v>646</v>
      </c>
      <c r="B556" t="s">
        <v>44</v>
      </c>
      <c r="C556">
        <v>3</v>
      </c>
      <c r="D556">
        <v>25.5</v>
      </c>
      <c r="E556">
        <v>76.5</v>
      </c>
      <c r="F556" s="12">
        <v>45681</v>
      </c>
      <c r="G556" s="12">
        <v>45682</v>
      </c>
      <c r="H556" t="s">
        <v>27</v>
      </c>
      <c r="I556" t="s">
        <v>35</v>
      </c>
      <c r="J556">
        <v>5</v>
      </c>
      <c r="K556" t="s">
        <v>19</v>
      </c>
      <c r="L556" t="s">
        <v>33</v>
      </c>
      <c r="M556">
        <v>1</v>
      </c>
      <c r="N556">
        <v>4</v>
      </c>
      <c r="O556" t="s">
        <v>2530</v>
      </c>
    </row>
    <row r="557" spans="1:15">
      <c r="A557" t="s">
        <v>647</v>
      </c>
      <c r="B557" t="s">
        <v>39</v>
      </c>
      <c r="C557">
        <v>3</v>
      </c>
      <c r="D557">
        <v>51.9</v>
      </c>
      <c r="E557">
        <v>155.69999999999999</v>
      </c>
      <c r="F557" s="12">
        <v>45681</v>
      </c>
      <c r="G557" s="12">
        <v>45682</v>
      </c>
      <c r="H557" t="s">
        <v>27</v>
      </c>
      <c r="I557" t="s">
        <v>51</v>
      </c>
      <c r="J557">
        <v>4</v>
      </c>
      <c r="K557" t="s">
        <v>19</v>
      </c>
      <c r="L557" t="s">
        <v>33</v>
      </c>
      <c r="M557">
        <v>1</v>
      </c>
      <c r="N557">
        <v>4</v>
      </c>
      <c r="O557" t="s">
        <v>2530</v>
      </c>
    </row>
    <row r="558" spans="1:15">
      <c r="A558" t="s">
        <v>648</v>
      </c>
      <c r="B558" t="s">
        <v>37</v>
      </c>
      <c r="C558">
        <v>1</v>
      </c>
      <c r="D558">
        <v>46.3</v>
      </c>
      <c r="E558">
        <v>46.3</v>
      </c>
      <c r="F558" s="12">
        <v>45681</v>
      </c>
      <c r="G558" s="12">
        <v>45684</v>
      </c>
      <c r="H558" t="s">
        <v>27</v>
      </c>
      <c r="I558" t="s">
        <v>70</v>
      </c>
      <c r="J558">
        <v>4</v>
      </c>
      <c r="K558" t="s">
        <v>19</v>
      </c>
      <c r="L558" t="s">
        <v>33</v>
      </c>
      <c r="M558">
        <v>3</v>
      </c>
      <c r="N558">
        <v>4</v>
      </c>
      <c r="O558" t="s">
        <v>2530</v>
      </c>
    </row>
    <row r="559" spans="1:15">
      <c r="A559" t="s">
        <v>649</v>
      </c>
      <c r="B559" t="s">
        <v>39</v>
      </c>
      <c r="C559">
        <v>2</v>
      </c>
      <c r="D559">
        <v>68.2</v>
      </c>
      <c r="E559">
        <v>136.4</v>
      </c>
      <c r="F559" s="12">
        <v>45681</v>
      </c>
      <c r="G559" s="12">
        <v>45683</v>
      </c>
      <c r="H559" t="s">
        <v>27</v>
      </c>
      <c r="I559" t="s">
        <v>51</v>
      </c>
      <c r="J559">
        <v>4</v>
      </c>
      <c r="K559" t="s">
        <v>19</v>
      </c>
      <c r="L559" t="s">
        <v>33</v>
      </c>
      <c r="M559">
        <v>2</v>
      </c>
      <c r="N559">
        <v>4</v>
      </c>
      <c r="O559" t="s">
        <v>2530</v>
      </c>
    </row>
    <row r="560" spans="1:15">
      <c r="A560" t="s">
        <v>650</v>
      </c>
      <c r="B560" t="s">
        <v>22</v>
      </c>
      <c r="C560">
        <v>1</v>
      </c>
      <c r="D560">
        <v>40.299999999999997</v>
      </c>
      <c r="E560">
        <v>40.299999999999997</v>
      </c>
      <c r="F560" s="12">
        <v>45681</v>
      </c>
      <c r="G560" s="12">
        <v>45682</v>
      </c>
      <c r="H560" t="s">
        <v>23</v>
      </c>
      <c r="I560" t="s">
        <v>18</v>
      </c>
      <c r="J560">
        <v>3</v>
      </c>
      <c r="K560" t="s">
        <v>19</v>
      </c>
      <c r="L560" t="s">
        <v>33</v>
      </c>
      <c r="M560">
        <v>1</v>
      </c>
      <c r="N560">
        <v>4</v>
      </c>
      <c r="O560" t="s">
        <v>2531</v>
      </c>
    </row>
    <row r="561" spans="1:15">
      <c r="A561" t="s">
        <v>1392</v>
      </c>
      <c r="B561" t="s">
        <v>22</v>
      </c>
      <c r="C561">
        <v>10</v>
      </c>
      <c r="D561">
        <v>92.6</v>
      </c>
      <c r="E561">
        <v>926</v>
      </c>
      <c r="F561" s="12">
        <v>45707</v>
      </c>
      <c r="G561" s="12">
        <v>45712</v>
      </c>
      <c r="H561" t="s">
        <v>23</v>
      </c>
      <c r="I561" t="s">
        <v>70</v>
      </c>
      <c r="J561">
        <v>5</v>
      </c>
      <c r="K561" t="s">
        <v>19</v>
      </c>
      <c r="L561" t="s">
        <v>33</v>
      </c>
      <c r="M561">
        <v>5</v>
      </c>
      <c r="N561">
        <v>8</v>
      </c>
      <c r="O561" t="s">
        <v>2531</v>
      </c>
    </row>
    <row r="562" spans="1:15">
      <c r="A562" t="s">
        <v>1391</v>
      </c>
      <c r="B562" t="s">
        <v>32</v>
      </c>
      <c r="C562">
        <v>19</v>
      </c>
      <c r="D562">
        <v>36.9</v>
      </c>
      <c r="E562">
        <v>701.1</v>
      </c>
      <c r="F562" s="12">
        <v>45707</v>
      </c>
      <c r="G562" s="12">
        <v>45707</v>
      </c>
      <c r="H562" t="s">
        <v>27</v>
      </c>
      <c r="I562" t="s">
        <v>18</v>
      </c>
      <c r="J562">
        <v>4</v>
      </c>
      <c r="K562" t="s">
        <v>19</v>
      </c>
      <c r="L562" t="s">
        <v>33</v>
      </c>
      <c r="M562">
        <v>0</v>
      </c>
      <c r="N562">
        <v>8</v>
      </c>
      <c r="O562" t="s">
        <v>2530</v>
      </c>
    </row>
    <row r="563" spans="1:15">
      <c r="A563" t="s">
        <v>1390</v>
      </c>
      <c r="B563" t="s">
        <v>44</v>
      </c>
      <c r="C563">
        <v>6</v>
      </c>
      <c r="D563">
        <v>21.1</v>
      </c>
      <c r="E563">
        <v>126.60000000000001</v>
      </c>
      <c r="F563" s="12">
        <v>45707</v>
      </c>
      <c r="G563" s="12">
        <v>45714</v>
      </c>
      <c r="H563" t="s">
        <v>23</v>
      </c>
      <c r="I563" t="s">
        <v>18</v>
      </c>
      <c r="J563">
        <v>5</v>
      </c>
      <c r="K563" t="s">
        <v>19</v>
      </c>
      <c r="L563" t="s">
        <v>33</v>
      </c>
      <c r="M563">
        <v>7</v>
      </c>
      <c r="N563">
        <v>8</v>
      </c>
      <c r="O563" t="s">
        <v>2531</v>
      </c>
    </row>
    <row r="564" spans="1:15">
      <c r="A564" t="s">
        <v>1389</v>
      </c>
      <c r="B564" t="s">
        <v>44</v>
      </c>
      <c r="C564">
        <v>1</v>
      </c>
      <c r="D564">
        <v>49</v>
      </c>
      <c r="E564">
        <v>49</v>
      </c>
      <c r="F564" s="12">
        <v>45707</v>
      </c>
      <c r="G564" s="12">
        <v>45708</v>
      </c>
      <c r="H564" t="s">
        <v>23</v>
      </c>
      <c r="I564" t="s">
        <v>35</v>
      </c>
      <c r="J564">
        <v>4</v>
      </c>
      <c r="K564" t="s">
        <v>19</v>
      </c>
      <c r="L564" t="s">
        <v>33</v>
      </c>
      <c r="M564">
        <v>1</v>
      </c>
      <c r="N564">
        <v>8</v>
      </c>
      <c r="O564" t="s">
        <v>2531</v>
      </c>
    </row>
    <row r="565" spans="1:15">
      <c r="A565" t="s">
        <v>1352</v>
      </c>
      <c r="B565" t="s">
        <v>22</v>
      </c>
      <c r="C565">
        <v>2</v>
      </c>
      <c r="D565">
        <v>106.2</v>
      </c>
      <c r="E565">
        <v>212.4</v>
      </c>
      <c r="F565" s="12">
        <v>45706</v>
      </c>
      <c r="G565" s="12">
        <v>45706</v>
      </c>
      <c r="H565" t="s">
        <v>27</v>
      </c>
      <c r="I565" t="s">
        <v>70</v>
      </c>
      <c r="J565">
        <v>5</v>
      </c>
      <c r="K565" t="s">
        <v>19</v>
      </c>
      <c r="L565" t="s">
        <v>33</v>
      </c>
      <c r="M565">
        <v>0</v>
      </c>
      <c r="N565">
        <v>8</v>
      </c>
      <c r="O565" t="s">
        <v>2530</v>
      </c>
    </row>
    <row r="566" spans="1:15">
      <c r="A566" t="s">
        <v>1351</v>
      </c>
      <c r="B566" t="s">
        <v>46</v>
      </c>
      <c r="C566">
        <v>9</v>
      </c>
      <c r="D566">
        <v>41.8</v>
      </c>
      <c r="E566">
        <v>376.2</v>
      </c>
      <c r="F566" s="12">
        <v>45706</v>
      </c>
      <c r="G566" s="12">
        <v>45707</v>
      </c>
      <c r="H566" t="s">
        <v>27</v>
      </c>
      <c r="I566" t="s">
        <v>18</v>
      </c>
      <c r="J566">
        <v>3</v>
      </c>
      <c r="K566" t="s">
        <v>19</v>
      </c>
      <c r="L566" t="s">
        <v>33</v>
      </c>
      <c r="M566">
        <v>1</v>
      </c>
      <c r="N566">
        <v>8</v>
      </c>
      <c r="O566" t="s">
        <v>2530</v>
      </c>
    </row>
    <row r="567" spans="1:15">
      <c r="A567" t="s">
        <v>1350</v>
      </c>
      <c r="B567" t="s">
        <v>146</v>
      </c>
      <c r="C567">
        <v>4</v>
      </c>
      <c r="D567">
        <v>33.6</v>
      </c>
      <c r="E567">
        <v>134.4</v>
      </c>
      <c r="F567" s="12">
        <v>45706</v>
      </c>
      <c r="G567" s="12">
        <v>45711</v>
      </c>
      <c r="H567" t="s">
        <v>17</v>
      </c>
      <c r="I567" t="s">
        <v>18</v>
      </c>
      <c r="J567">
        <v>5</v>
      </c>
      <c r="K567" t="s">
        <v>19</v>
      </c>
      <c r="L567" t="s">
        <v>33</v>
      </c>
      <c r="M567">
        <v>5</v>
      </c>
      <c r="N567">
        <v>8</v>
      </c>
      <c r="O567" t="s">
        <v>2533</v>
      </c>
    </row>
    <row r="568" spans="1:15">
      <c r="A568" t="s">
        <v>1349</v>
      </c>
      <c r="B568" t="s">
        <v>123</v>
      </c>
      <c r="C568">
        <v>4</v>
      </c>
      <c r="D568">
        <v>80.5</v>
      </c>
      <c r="E568">
        <v>322</v>
      </c>
      <c r="F568" s="12">
        <v>45706</v>
      </c>
      <c r="G568" s="12">
        <v>45711</v>
      </c>
      <c r="H568" t="s">
        <v>23</v>
      </c>
      <c r="I568" t="s">
        <v>18</v>
      </c>
      <c r="J568">
        <v>4</v>
      </c>
      <c r="K568" t="s">
        <v>19</v>
      </c>
      <c r="L568" t="s">
        <v>33</v>
      </c>
      <c r="M568">
        <v>5</v>
      </c>
      <c r="N568">
        <v>8</v>
      </c>
      <c r="O568" t="s">
        <v>2531</v>
      </c>
    </row>
    <row r="569" spans="1:15">
      <c r="A569" t="s">
        <v>1348</v>
      </c>
      <c r="B569" t="s">
        <v>16</v>
      </c>
      <c r="C569">
        <v>2</v>
      </c>
      <c r="D569">
        <v>44.1</v>
      </c>
      <c r="E569">
        <v>88.2</v>
      </c>
      <c r="F569" s="12">
        <v>45706</v>
      </c>
      <c r="G569" s="12">
        <v>45708</v>
      </c>
      <c r="H569" t="s">
        <v>27</v>
      </c>
      <c r="I569" t="s">
        <v>40</v>
      </c>
      <c r="J569">
        <v>4</v>
      </c>
      <c r="K569" t="s">
        <v>19</v>
      </c>
      <c r="L569" t="s">
        <v>33</v>
      </c>
      <c r="M569">
        <v>2</v>
      </c>
      <c r="N569">
        <v>8</v>
      </c>
      <c r="O569" t="s">
        <v>2530</v>
      </c>
    </row>
    <row r="570" spans="1:15">
      <c r="A570" t="s">
        <v>1347</v>
      </c>
      <c r="B570" t="s">
        <v>44</v>
      </c>
      <c r="C570">
        <v>1</v>
      </c>
      <c r="D570">
        <v>38.1</v>
      </c>
      <c r="E570">
        <v>38.1</v>
      </c>
      <c r="F570" s="12">
        <v>45706</v>
      </c>
      <c r="G570" s="12">
        <v>45706</v>
      </c>
      <c r="H570" t="s">
        <v>23</v>
      </c>
      <c r="I570" t="s">
        <v>70</v>
      </c>
      <c r="J570">
        <v>3</v>
      </c>
      <c r="K570" t="s">
        <v>19</v>
      </c>
      <c r="L570" t="s">
        <v>33</v>
      </c>
      <c r="M570">
        <v>0</v>
      </c>
      <c r="N570">
        <v>8</v>
      </c>
      <c r="O570" t="s">
        <v>2531</v>
      </c>
    </row>
    <row r="571" spans="1:15">
      <c r="A571" t="s">
        <v>1346</v>
      </c>
      <c r="B571" t="s">
        <v>26</v>
      </c>
      <c r="C571">
        <v>5</v>
      </c>
      <c r="D571">
        <v>117.2</v>
      </c>
      <c r="E571">
        <v>586</v>
      </c>
      <c r="F571" s="12">
        <v>45706</v>
      </c>
      <c r="G571" s="12">
        <v>45709</v>
      </c>
      <c r="H571" t="s">
        <v>27</v>
      </c>
      <c r="I571" t="s">
        <v>70</v>
      </c>
      <c r="J571">
        <v>2</v>
      </c>
      <c r="K571" t="s">
        <v>19</v>
      </c>
      <c r="L571" t="s">
        <v>33</v>
      </c>
      <c r="M571">
        <v>3</v>
      </c>
      <c r="N571">
        <v>8</v>
      </c>
      <c r="O571" t="s">
        <v>2530</v>
      </c>
    </row>
    <row r="572" spans="1:15">
      <c r="A572" t="s">
        <v>1345</v>
      </c>
      <c r="B572" t="s">
        <v>54</v>
      </c>
      <c r="C572">
        <v>1</v>
      </c>
      <c r="D572">
        <v>51.4</v>
      </c>
      <c r="E572">
        <v>51.4</v>
      </c>
      <c r="F572" s="12">
        <v>45706</v>
      </c>
      <c r="G572" s="12">
        <v>45707</v>
      </c>
      <c r="H572" t="s">
        <v>23</v>
      </c>
      <c r="I572" t="s">
        <v>18</v>
      </c>
      <c r="J572">
        <v>4</v>
      </c>
      <c r="K572" t="s">
        <v>19</v>
      </c>
      <c r="L572" t="s">
        <v>33</v>
      </c>
      <c r="M572">
        <v>1</v>
      </c>
      <c r="N572">
        <v>8</v>
      </c>
      <c r="O572" t="s">
        <v>2531</v>
      </c>
    </row>
    <row r="573" spans="1:15">
      <c r="A573" t="s">
        <v>1321</v>
      </c>
      <c r="B573" t="s">
        <v>26</v>
      </c>
      <c r="C573">
        <v>5</v>
      </c>
      <c r="D573">
        <v>105.4</v>
      </c>
      <c r="E573">
        <v>527</v>
      </c>
      <c r="F573" s="12">
        <v>45705</v>
      </c>
      <c r="G573" s="12">
        <v>45707</v>
      </c>
      <c r="H573" t="s">
        <v>27</v>
      </c>
      <c r="I573" t="s">
        <v>35</v>
      </c>
      <c r="J573">
        <v>3</v>
      </c>
      <c r="K573" t="s">
        <v>19</v>
      </c>
      <c r="L573" t="s">
        <v>33</v>
      </c>
      <c r="M573">
        <v>2</v>
      </c>
      <c r="N573">
        <v>8</v>
      </c>
      <c r="O573" t="s">
        <v>2530</v>
      </c>
    </row>
    <row r="574" spans="1:15">
      <c r="A574" t="s">
        <v>1320</v>
      </c>
      <c r="B574" t="s">
        <v>30</v>
      </c>
      <c r="C574">
        <v>13</v>
      </c>
      <c r="D574">
        <v>84.5</v>
      </c>
      <c r="E574">
        <v>1098.5</v>
      </c>
      <c r="F574" s="12">
        <v>45705</v>
      </c>
      <c r="G574" s="12">
        <v>45708</v>
      </c>
      <c r="H574" t="s">
        <v>27</v>
      </c>
      <c r="I574" t="s">
        <v>35</v>
      </c>
      <c r="J574">
        <v>2</v>
      </c>
      <c r="K574" t="s">
        <v>19</v>
      </c>
      <c r="L574" t="s">
        <v>33</v>
      </c>
      <c r="M574">
        <v>3</v>
      </c>
      <c r="N574">
        <v>8</v>
      </c>
      <c r="O574" t="s">
        <v>2530</v>
      </c>
    </row>
    <row r="575" spans="1:15">
      <c r="A575" t="s">
        <v>1319</v>
      </c>
      <c r="B575" t="s">
        <v>39</v>
      </c>
      <c r="C575">
        <v>3</v>
      </c>
      <c r="D575">
        <v>56.6</v>
      </c>
      <c r="E575">
        <v>169.8</v>
      </c>
      <c r="F575" s="12">
        <v>45705</v>
      </c>
      <c r="G575" s="12">
        <v>45706</v>
      </c>
      <c r="H575" t="s">
        <v>23</v>
      </c>
      <c r="I575" t="s">
        <v>51</v>
      </c>
      <c r="J575">
        <v>4</v>
      </c>
      <c r="K575" t="s">
        <v>19</v>
      </c>
      <c r="L575" t="s">
        <v>33</v>
      </c>
      <c r="M575">
        <v>1</v>
      </c>
      <c r="N575">
        <v>8</v>
      </c>
      <c r="O575" t="s">
        <v>2531</v>
      </c>
    </row>
    <row r="576" spans="1:15">
      <c r="A576" t="s">
        <v>666</v>
      </c>
      <c r="B576" t="s">
        <v>26</v>
      </c>
      <c r="C576">
        <v>4</v>
      </c>
      <c r="D576">
        <v>211</v>
      </c>
      <c r="E576">
        <v>844</v>
      </c>
      <c r="F576" s="12">
        <v>45682</v>
      </c>
      <c r="G576" s="12">
        <v>45682</v>
      </c>
      <c r="H576" t="s">
        <v>27</v>
      </c>
      <c r="I576" t="s">
        <v>35</v>
      </c>
      <c r="J576">
        <v>3</v>
      </c>
      <c r="K576" t="s">
        <v>19</v>
      </c>
      <c r="L576" t="s">
        <v>33</v>
      </c>
      <c r="M576">
        <v>0</v>
      </c>
      <c r="N576">
        <v>4</v>
      </c>
      <c r="O576" t="s">
        <v>2530</v>
      </c>
    </row>
    <row r="577" spans="1:15">
      <c r="A577" t="s">
        <v>667</v>
      </c>
      <c r="B577" t="s">
        <v>16</v>
      </c>
      <c r="C577">
        <v>4</v>
      </c>
      <c r="D577">
        <v>21.1</v>
      </c>
      <c r="E577">
        <v>84.4</v>
      </c>
      <c r="F577" s="12">
        <v>45682</v>
      </c>
      <c r="G577" s="12">
        <v>45685</v>
      </c>
      <c r="H577" t="s">
        <v>23</v>
      </c>
      <c r="I577" t="s">
        <v>70</v>
      </c>
      <c r="J577">
        <v>4</v>
      </c>
      <c r="K577" t="s">
        <v>19</v>
      </c>
      <c r="L577" t="s">
        <v>33</v>
      </c>
      <c r="M577">
        <v>3</v>
      </c>
      <c r="N577">
        <v>4</v>
      </c>
      <c r="O577" t="s">
        <v>2531</v>
      </c>
    </row>
    <row r="578" spans="1:15">
      <c r="A578" t="s">
        <v>668</v>
      </c>
      <c r="B578" t="s">
        <v>54</v>
      </c>
      <c r="C578">
        <v>1</v>
      </c>
      <c r="D578">
        <v>26.6</v>
      </c>
      <c r="E578">
        <v>26.6</v>
      </c>
      <c r="F578" s="12">
        <v>45682</v>
      </c>
      <c r="G578" s="12">
        <v>45684</v>
      </c>
      <c r="H578" t="s">
        <v>23</v>
      </c>
      <c r="I578" t="s">
        <v>18</v>
      </c>
      <c r="J578">
        <v>2</v>
      </c>
      <c r="K578" t="s">
        <v>19</v>
      </c>
      <c r="L578" t="s">
        <v>33</v>
      </c>
      <c r="M578">
        <v>2</v>
      </c>
      <c r="N578">
        <v>4</v>
      </c>
      <c r="O578" t="s">
        <v>2531</v>
      </c>
    </row>
    <row r="579" spans="1:15">
      <c r="A579" t="s">
        <v>1318</v>
      </c>
      <c r="B579" t="s">
        <v>42</v>
      </c>
      <c r="C579">
        <v>34</v>
      </c>
      <c r="D579">
        <v>37.9</v>
      </c>
      <c r="E579">
        <v>1288.5999999999999</v>
      </c>
      <c r="F579" s="12">
        <v>45705</v>
      </c>
      <c r="G579" s="12">
        <v>45706</v>
      </c>
      <c r="H579" t="s">
        <v>23</v>
      </c>
      <c r="I579" t="s">
        <v>18</v>
      </c>
      <c r="J579">
        <v>4</v>
      </c>
      <c r="K579" t="s">
        <v>19</v>
      </c>
      <c r="L579" t="s">
        <v>33</v>
      </c>
      <c r="M579">
        <v>1</v>
      </c>
      <c r="N579">
        <v>8</v>
      </c>
      <c r="O579" t="s">
        <v>2531</v>
      </c>
    </row>
    <row r="580" spans="1:15">
      <c r="A580" t="s">
        <v>1317</v>
      </c>
      <c r="B580" t="s">
        <v>54</v>
      </c>
      <c r="C580">
        <v>6</v>
      </c>
      <c r="D580">
        <v>45</v>
      </c>
      <c r="E580">
        <v>270</v>
      </c>
      <c r="F580" s="12">
        <v>45705</v>
      </c>
      <c r="G580" s="12">
        <v>45710</v>
      </c>
      <c r="H580" t="s">
        <v>27</v>
      </c>
      <c r="I580" t="s">
        <v>40</v>
      </c>
      <c r="J580">
        <v>4</v>
      </c>
      <c r="K580" t="s">
        <v>19</v>
      </c>
      <c r="L580" t="s">
        <v>33</v>
      </c>
      <c r="M580">
        <v>5</v>
      </c>
      <c r="N580">
        <v>8</v>
      </c>
      <c r="O580" t="s">
        <v>2530</v>
      </c>
    </row>
    <row r="581" spans="1:15">
      <c r="A581" t="s">
        <v>1316</v>
      </c>
      <c r="B581" t="s">
        <v>46</v>
      </c>
      <c r="C581">
        <v>3</v>
      </c>
      <c r="D581">
        <v>74.900000000000006</v>
      </c>
      <c r="E581">
        <v>224.70000000000002</v>
      </c>
      <c r="F581" s="12">
        <v>45705</v>
      </c>
      <c r="G581" s="12">
        <v>45714</v>
      </c>
      <c r="H581" t="s">
        <v>23</v>
      </c>
      <c r="I581" t="s">
        <v>51</v>
      </c>
      <c r="J581">
        <v>3</v>
      </c>
      <c r="K581" t="s">
        <v>19</v>
      </c>
      <c r="L581" t="s">
        <v>33</v>
      </c>
      <c r="M581">
        <v>9</v>
      </c>
      <c r="N581">
        <v>8</v>
      </c>
      <c r="O581" t="s">
        <v>2531</v>
      </c>
    </row>
    <row r="582" spans="1:15">
      <c r="A582" t="s">
        <v>1315</v>
      </c>
      <c r="B582" t="s">
        <v>44</v>
      </c>
      <c r="C582">
        <v>4</v>
      </c>
      <c r="D582">
        <v>21.5</v>
      </c>
      <c r="E582">
        <v>86</v>
      </c>
      <c r="F582" s="12">
        <v>45705</v>
      </c>
      <c r="G582" s="12">
        <v>45708</v>
      </c>
      <c r="H582" t="s">
        <v>23</v>
      </c>
      <c r="I582" t="s">
        <v>35</v>
      </c>
      <c r="J582">
        <v>4</v>
      </c>
      <c r="K582" t="s">
        <v>19</v>
      </c>
      <c r="L582" t="s">
        <v>33</v>
      </c>
      <c r="M582">
        <v>3</v>
      </c>
      <c r="N582">
        <v>8</v>
      </c>
      <c r="O582" t="s">
        <v>2531</v>
      </c>
    </row>
    <row r="583" spans="1:15">
      <c r="A583" t="s">
        <v>1314</v>
      </c>
      <c r="B583" t="s">
        <v>37</v>
      </c>
      <c r="C583">
        <v>12</v>
      </c>
      <c r="D583">
        <v>29.6</v>
      </c>
      <c r="E583">
        <v>355.20000000000005</v>
      </c>
      <c r="F583" s="12">
        <v>45705</v>
      </c>
      <c r="G583" s="12">
        <v>45709</v>
      </c>
      <c r="H583" t="s">
        <v>23</v>
      </c>
      <c r="I583" t="s">
        <v>40</v>
      </c>
      <c r="J583">
        <v>2</v>
      </c>
      <c r="K583" t="s">
        <v>19</v>
      </c>
      <c r="L583" t="s">
        <v>33</v>
      </c>
      <c r="M583">
        <v>4</v>
      </c>
      <c r="N583">
        <v>8</v>
      </c>
      <c r="O583" t="s">
        <v>2531</v>
      </c>
    </row>
    <row r="584" spans="1:15">
      <c r="A584" t="s">
        <v>1313</v>
      </c>
      <c r="B584" t="s">
        <v>39</v>
      </c>
      <c r="C584">
        <v>2</v>
      </c>
      <c r="D584">
        <v>78.7</v>
      </c>
      <c r="E584">
        <v>157.4</v>
      </c>
      <c r="F584" s="12">
        <v>45705</v>
      </c>
      <c r="G584" s="12">
        <v>45705</v>
      </c>
      <c r="H584" t="s">
        <v>27</v>
      </c>
      <c r="I584" t="s">
        <v>40</v>
      </c>
      <c r="J584">
        <v>3</v>
      </c>
      <c r="K584" t="s">
        <v>19</v>
      </c>
      <c r="L584" t="s">
        <v>33</v>
      </c>
      <c r="M584">
        <v>0</v>
      </c>
      <c r="N584">
        <v>8</v>
      </c>
      <c r="O584" t="s">
        <v>2530</v>
      </c>
    </row>
    <row r="585" spans="1:15">
      <c r="A585" t="s">
        <v>1312</v>
      </c>
      <c r="B585" t="s">
        <v>44</v>
      </c>
      <c r="C585">
        <v>1</v>
      </c>
      <c r="D585">
        <v>15.9</v>
      </c>
      <c r="E585">
        <v>15.9</v>
      </c>
      <c r="F585" s="12">
        <v>45705</v>
      </c>
      <c r="G585" s="12">
        <v>45708</v>
      </c>
      <c r="H585" t="s">
        <v>17</v>
      </c>
      <c r="I585" t="s">
        <v>35</v>
      </c>
      <c r="J585">
        <v>4</v>
      </c>
      <c r="K585" t="s">
        <v>19</v>
      </c>
      <c r="L585" t="s">
        <v>33</v>
      </c>
      <c r="M585">
        <v>3</v>
      </c>
      <c r="N585">
        <v>8</v>
      </c>
      <c r="O585" t="s">
        <v>2533</v>
      </c>
    </row>
    <row r="586" spans="1:15">
      <c r="A586" t="s">
        <v>1311</v>
      </c>
      <c r="B586" t="s">
        <v>69</v>
      </c>
      <c r="C586">
        <v>2</v>
      </c>
      <c r="D586">
        <v>64.099999999999994</v>
      </c>
      <c r="E586">
        <v>128.19999999999999</v>
      </c>
      <c r="F586" s="12">
        <v>45705</v>
      </c>
      <c r="G586" s="12">
        <v>45709</v>
      </c>
      <c r="H586" t="s">
        <v>27</v>
      </c>
      <c r="I586" t="s">
        <v>35</v>
      </c>
      <c r="J586">
        <v>2</v>
      </c>
      <c r="K586" t="s">
        <v>19</v>
      </c>
      <c r="L586" t="s">
        <v>33</v>
      </c>
      <c r="M586">
        <v>4</v>
      </c>
      <c r="N586">
        <v>8</v>
      </c>
      <c r="O586" t="s">
        <v>2530</v>
      </c>
    </row>
    <row r="587" spans="1:15">
      <c r="A587" t="s">
        <v>1310</v>
      </c>
      <c r="B587" t="s">
        <v>54</v>
      </c>
      <c r="C587">
        <v>4</v>
      </c>
      <c r="D587">
        <v>44.7</v>
      </c>
      <c r="E587">
        <v>178.8</v>
      </c>
      <c r="F587" s="12">
        <v>45705</v>
      </c>
      <c r="G587" s="12">
        <v>45707</v>
      </c>
      <c r="H587" t="s">
        <v>27</v>
      </c>
      <c r="I587" t="s">
        <v>40</v>
      </c>
      <c r="J587">
        <v>3</v>
      </c>
      <c r="K587" t="s">
        <v>19</v>
      </c>
      <c r="L587" t="s">
        <v>33</v>
      </c>
      <c r="M587">
        <v>2</v>
      </c>
      <c r="N587">
        <v>8</v>
      </c>
      <c r="O587" t="s">
        <v>2530</v>
      </c>
    </row>
    <row r="588" spans="1:15">
      <c r="A588" t="s">
        <v>1309</v>
      </c>
      <c r="B588" t="s">
        <v>22</v>
      </c>
      <c r="C588">
        <v>2</v>
      </c>
      <c r="D588">
        <v>41.5</v>
      </c>
      <c r="E588">
        <v>83</v>
      </c>
      <c r="F588" s="12">
        <v>45705</v>
      </c>
      <c r="G588" s="12">
        <v>45708</v>
      </c>
      <c r="H588" t="s">
        <v>89</v>
      </c>
      <c r="I588" t="s">
        <v>18</v>
      </c>
      <c r="J588">
        <v>4</v>
      </c>
      <c r="K588" t="s">
        <v>19</v>
      </c>
      <c r="L588" t="s">
        <v>33</v>
      </c>
      <c r="M588">
        <v>3</v>
      </c>
      <c r="N588">
        <v>8</v>
      </c>
      <c r="O588" t="s">
        <v>2532</v>
      </c>
    </row>
    <row r="589" spans="1:15">
      <c r="A589" t="s">
        <v>1308</v>
      </c>
      <c r="B589" t="s">
        <v>46</v>
      </c>
      <c r="C589">
        <v>6</v>
      </c>
      <c r="D589">
        <v>30.8</v>
      </c>
      <c r="E589">
        <v>184.8</v>
      </c>
      <c r="F589" s="12">
        <v>45705</v>
      </c>
      <c r="G589" s="12">
        <v>45707</v>
      </c>
      <c r="H589" t="s">
        <v>23</v>
      </c>
      <c r="I589" t="s">
        <v>70</v>
      </c>
      <c r="J589">
        <v>4</v>
      </c>
      <c r="K589" t="s">
        <v>19</v>
      </c>
      <c r="L589" t="s">
        <v>33</v>
      </c>
      <c r="M589">
        <v>2</v>
      </c>
      <c r="N589">
        <v>8</v>
      </c>
      <c r="O589" t="s">
        <v>2531</v>
      </c>
    </row>
    <row r="590" spans="1:15">
      <c r="A590" t="s">
        <v>1307</v>
      </c>
      <c r="B590" t="s">
        <v>135</v>
      </c>
      <c r="C590">
        <v>12</v>
      </c>
      <c r="D590">
        <v>63.8</v>
      </c>
      <c r="E590">
        <v>765.59999999999991</v>
      </c>
      <c r="F590" s="12">
        <v>45705</v>
      </c>
      <c r="G590" s="12">
        <v>45706</v>
      </c>
      <c r="H590" t="s">
        <v>23</v>
      </c>
      <c r="I590" t="s">
        <v>35</v>
      </c>
      <c r="J590">
        <v>4</v>
      </c>
      <c r="K590" t="s">
        <v>19</v>
      </c>
      <c r="L590" t="s">
        <v>33</v>
      </c>
      <c r="M590">
        <v>1</v>
      </c>
      <c r="N590">
        <v>8</v>
      </c>
      <c r="O590" t="s">
        <v>2531</v>
      </c>
    </row>
    <row r="591" spans="1:15">
      <c r="A591" t="s">
        <v>1286</v>
      </c>
      <c r="B591" t="s">
        <v>44</v>
      </c>
      <c r="C591">
        <v>2</v>
      </c>
      <c r="D591">
        <v>28.1</v>
      </c>
      <c r="E591">
        <v>56.2</v>
      </c>
      <c r="F591" s="12">
        <v>45704</v>
      </c>
      <c r="G591" s="12">
        <v>45705</v>
      </c>
      <c r="H591" t="s">
        <v>27</v>
      </c>
      <c r="I591" t="s">
        <v>70</v>
      </c>
      <c r="J591">
        <v>3</v>
      </c>
      <c r="K591" t="s">
        <v>19</v>
      </c>
      <c r="L591" t="s">
        <v>33</v>
      </c>
      <c r="M591">
        <v>1</v>
      </c>
      <c r="N591">
        <v>8</v>
      </c>
      <c r="O591" t="s">
        <v>2530</v>
      </c>
    </row>
    <row r="592" spans="1:15">
      <c r="A592" t="s">
        <v>1285</v>
      </c>
      <c r="B592" t="s">
        <v>44</v>
      </c>
      <c r="C592">
        <v>2</v>
      </c>
      <c r="D592">
        <v>55.8</v>
      </c>
      <c r="E592">
        <v>111.6</v>
      </c>
      <c r="F592" s="12">
        <v>45704</v>
      </c>
      <c r="G592" s="12">
        <v>45706</v>
      </c>
      <c r="H592" t="s">
        <v>17</v>
      </c>
      <c r="I592" t="s">
        <v>18</v>
      </c>
      <c r="J592">
        <v>4</v>
      </c>
      <c r="K592" t="s">
        <v>19</v>
      </c>
      <c r="L592" t="s">
        <v>33</v>
      </c>
      <c r="M592">
        <v>2</v>
      </c>
      <c r="N592">
        <v>8</v>
      </c>
      <c r="O592" t="s">
        <v>2533</v>
      </c>
    </row>
    <row r="593" spans="1:15">
      <c r="A593" t="s">
        <v>1284</v>
      </c>
      <c r="B593" t="s">
        <v>39</v>
      </c>
      <c r="C593">
        <v>1</v>
      </c>
      <c r="D593">
        <v>64.2</v>
      </c>
      <c r="E593">
        <v>64.2</v>
      </c>
      <c r="F593" s="12">
        <v>45704</v>
      </c>
      <c r="G593" s="12">
        <v>45709</v>
      </c>
      <c r="H593" t="s">
        <v>23</v>
      </c>
      <c r="I593" t="s">
        <v>18</v>
      </c>
      <c r="J593">
        <v>4</v>
      </c>
      <c r="K593" t="s">
        <v>19</v>
      </c>
      <c r="L593" t="s">
        <v>33</v>
      </c>
      <c r="M593">
        <v>5</v>
      </c>
      <c r="N593">
        <v>8</v>
      </c>
      <c r="O593" t="s">
        <v>2531</v>
      </c>
    </row>
    <row r="594" spans="1:15">
      <c r="A594" t="s">
        <v>1283</v>
      </c>
      <c r="B594" t="s">
        <v>16</v>
      </c>
      <c r="C594">
        <v>9</v>
      </c>
      <c r="D594">
        <v>31.6</v>
      </c>
      <c r="E594">
        <v>284.40000000000003</v>
      </c>
      <c r="F594" s="12">
        <v>45704</v>
      </c>
      <c r="G594" s="12">
        <v>45706</v>
      </c>
      <c r="H594" t="s">
        <v>27</v>
      </c>
      <c r="I594" t="s">
        <v>18</v>
      </c>
      <c r="J594">
        <v>4</v>
      </c>
      <c r="K594" t="s">
        <v>19</v>
      </c>
      <c r="L594" t="s">
        <v>33</v>
      </c>
      <c r="M594">
        <v>2</v>
      </c>
      <c r="N594">
        <v>8</v>
      </c>
      <c r="O594" t="s">
        <v>2530</v>
      </c>
    </row>
    <row r="595" spans="1:15">
      <c r="A595" t="s">
        <v>686</v>
      </c>
      <c r="B595" t="s">
        <v>44</v>
      </c>
      <c r="C595">
        <v>2</v>
      </c>
      <c r="D595">
        <v>18.3</v>
      </c>
      <c r="E595">
        <v>36.6</v>
      </c>
      <c r="F595" s="12">
        <v>45683</v>
      </c>
      <c r="G595" s="12">
        <v>45684</v>
      </c>
      <c r="H595" t="s">
        <v>27</v>
      </c>
      <c r="I595" t="s">
        <v>35</v>
      </c>
      <c r="J595">
        <v>4</v>
      </c>
      <c r="K595" t="s">
        <v>19</v>
      </c>
      <c r="L595" t="s">
        <v>33</v>
      </c>
      <c r="M595">
        <v>1</v>
      </c>
      <c r="N595">
        <v>5</v>
      </c>
      <c r="O595" t="s">
        <v>2530</v>
      </c>
    </row>
    <row r="596" spans="1:15">
      <c r="A596" t="s">
        <v>687</v>
      </c>
      <c r="B596" t="s">
        <v>32</v>
      </c>
      <c r="C596">
        <v>2</v>
      </c>
      <c r="D596">
        <v>56.5</v>
      </c>
      <c r="E596">
        <v>113</v>
      </c>
      <c r="F596" s="12">
        <v>45683</v>
      </c>
      <c r="G596" s="12">
        <v>45687</v>
      </c>
      <c r="H596" t="s">
        <v>23</v>
      </c>
      <c r="I596" t="s">
        <v>40</v>
      </c>
      <c r="J596">
        <v>5</v>
      </c>
      <c r="K596" t="s">
        <v>19</v>
      </c>
      <c r="L596" t="s">
        <v>33</v>
      </c>
      <c r="M596">
        <v>4</v>
      </c>
      <c r="N596">
        <v>5</v>
      </c>
      <c r="O596" t="s">
        <v>2531</v>
      </c>
    </row>
    <row r="597" spans="1:15">
      <c r="A597" t="s">
        <v>688</v>
      </c>
      <c r="B597" t="s">
        <v>54</v>
      </c>
      <c r="C597">
        <v>7</v>
      </c>
      <c r="D597">
        <v>29.9</v>
      </c>
      <c r="E597">
        <v>209.29999999999998</v>
      </c>
      <c r="F597" s="12">
        <v>45683</v>
      </c>
      <c r="G597" s="12">
        <v>45685</v>
      </c>
      <c r="H597" t="s">
        <v>23</v>
      </c>
      <c r="I597" t="s">
        <v>70</v>
      </c>
      <c r="J597">
        <v>5</v>
      </c>
      <c r="K597" t="s">
        <v>19</v>
      </c>
      <c r="L597" t="s">
        <v>33</v>
      </c>
      <c r="M597">
        <v>2</v>
      </c>
      <c r="N597">
        <v>5</v>
      </c>
      <c r="O597" t="s">
        <v>2531</v>
      </c>
    </row>
    <row r="598" spans="1:15">
      <c r="A598" t="s">
        <v>689</v>
      </c>
      <c r="B598" t="s">
        <v>37</v>
      </c>
      <c r="C598">
        <v>2</v>
      </c>
      <c r="D598">
        <v>50.4</v>
      </c>
      <c r="E598">
        <v>100.8</v>
      </c>
      <c r="F598" s="12">
        <v>45683</v>
      </c>
      <c r="G598" s="12">
        <v>45684</v>
      </c>
      <c r="H598" t="s">
        <v>27</v>
      </c>
      <c r="I598" t="s">
        <v>40</v>
      </c>
      <c r="J598">
        <v>4</v>
      </c>
      <c r="K598" t="s">
        <v>19</v>
      </c>
      <c r="L598" t="s">
        <v>33</v>
      </c>
      <c r="M598">
        <v>1</v>
      </c>
      <c r="N598">
        <v>5</v>
      </c>
      <c r="O598" t="s">
        <v>2530</v>
      </c>
    </row>
    <row r="599" spans="1:15">
      <c r="A599" t="s">
        <v>690</v>
      </c>
      <c r="B599" t="s">
        <v>26</v>
      </c>
      <c r="C599">
        <v>1</v>
      </c>
      <c r="D599">
        <v>85.8</v>
      </c>
      <c r="E599">
        <v>85.8</v>
      </c>
      <c r="F599" s="12">
        <v>45683</v>
      </c>
      <c r="G599" s="12">
        <v>45683</v>
      </c>
      <c r="H599" t="s">
        <v>27</v>
      </c>
      <c r="I599" t="s">
        <v>40</v>
      </c>
      <c r="J599">
        <v>5</v>
      </c>
      <c r="K599" t="s">
        <v>19</v>
      </c>
      <c r="L599" t="s">
        <v>33</v>
      </c>
      <c r="M599">
        <v>0</v>
      </c>
      <c r="N599">
        <v>5</v>
      </c>
      <c r="O599" t="s">
        <v>2530</v>
      </c>
    </row>
    <row r="600" spans="1:15">
      <c r="A600" t="s">
        <v>691</v>
      </c>
      <c r="B600" t="s">
        <v>32</v>
      </c>
      <c r="C600">
        <v>16</v>
      </c>
      <c r="D600">
        <v>66.599999999999994</v>
      </c>
      <c r="E600">
        <v>1065.5999999999999</v>
      </c>
      <c r="F600" s="12">
        <v>45683</v>
      </c>
      <c r="G600" s="12">
        <v>45685</v>
      </c>
      <c r="H600" t="s">
        <v>23</v>
      </c>
      <c r="I600" t="s">
        <v>35</v>
      </c>
      <c r="J600">
        <v>4</v>
      </c>
      <c r="K600" t="s">
        <v>19</v>
      </c>
      <c r="L600" t="s">
        <v>33</v>
      </c>
      <c r="M600">
        <v>2</v>
      </c>
      <c r="N600">
        <v>5</v>
      </c>
      <c r="O600" t="s">
        <v>2531</v>
      </c>
    </row>
    <row r="601" spans="1:15">
      <c r="A601" t="s">
        <v>692</v>
      </c>
      <c r="B601" t="s">
        <v>39</v>
      </c>
      <c r="C601">
        <v>4</v>
      </c>
      <c r="D601">
        <v>70.3</v>
      </c>
      <c r="E601">
        <v>281.2</v>
      </c>
      <c r="F601" s="12">
        <v>45683</v>
      </c>
      <c r="G601" s="12">
        <v>45684</v>
      </c>
      <c r="H601" t="s">
        <v>27</v>
      </c>
      <c r="I601" t="s">
        <v>18</v>
      </c>
      <c r="J601">
        <v>3</v>
      </c>
      <c r="K601" t="s">
        <v>19</v>
      </c>
      <c r="L601" t="s">
        <v>33</v>
      </c>
      <c r="M601">
        <v>1</v>
      </c>
      <c r="N601">
        <v>5</v>
      </c>
      <c r="O601" t="s">
        <v>2530</v>
      </c>
    </row>
    <row r="602" spans="1:15">
      <c r="A602" t="s">
        <v>693</v>
      </c>
      <c r="B602" t="s">
        <v>44</v>
      </c>
      <c r="C602">
        <v>4</v>
      </c>
      <c r="D602">
        <v>31</v>
      </c>
      <c r="E602">
        <v>124</v>
      </c>
      <c r="F602" s="12">
        <v>45683</v>
      </c>
      <c r="G602" s="12">
        <v>45686</v>
      </c>
      <c r="H602" t="s">
        <v>23</v>
      </c>
      <c r="I602" t="s">
        <v>18</v>
      </c>
      <c r="J602">
        <v>5</v>
      </c>
      <c r="K602" t="s">
        <v>19</v>
      </c>
      <c r="L602" t="s">
        <v>33</v>
      </c>
      <c r="M602">
        <v>3</v>
      </c>
      <c r="N602">
        <v>5</v>
      </c>
      <c r="O602" t="s">
        <v>2531</v>
      </c>
    </row>
    <row r="603" spans="1:15">
      <c r="A603" t="s">
        <v>1282</v>
      </c>
      <c r="B603" t="s">
        <v>32</v>
      </c>
      <c r="C603">
        <v>3</v>
      </c>
      <c r="D603">
        <v>25.7</v>
      </c>
      <c r="E603">
        <v>77.099999999999994</v>
      </c>
      <c r="F603" s="12">
        <v>45704</v>
      </c>
      <c r="G603" s="12">
        <v>45705</v>
      </c>
      <c r="H603" t="s">
        <v>23</v>
      </c>
      <c r="I603" t="s">
        <v>70</v>
      </c>
      <c r="J603">
        <v>4</v>
      </c>
      <c r="K603" t="s">
        <v>19</v>
      </c>
      <c r="L603" t="s">
        <v>33</v>
      </c>
      <c r="M603">
        <v>1</v>
      </c>
      <c r="N603">
        <v>8</v>
      </c>
      <c r="O603" t="s">
        <v>2531</v>
      </c>
    </row>
    <row r="604" spans="1:15">
      <c r="A604" t="s">
        <v>1281</v>
      </c>
      <c r="B604" t="s">
        <v>16</v>
      </c>
      <c r="C604">
        <v>2</v>
      </c>
      <c r="D604">
        <v>23.2</v>
      </c>
      <c r="E604">
        <v>46.4</v>
      </c>
      <c r="F604" s="12">
        <v>45704</v>
      </c>
      <c r="G604" s="12">
        <v>45704</v>
      </c>
      <c r="H604" t="s">
        <v>17</v>
      </c>
      <c r="I604" t="s">
        <v>51</v>
      </c>
      <c r="J604">
        <v>3</v>
      </c>
      <c r="K604" t="s">
        <v>19</v>
      </c>
      <c r="L604" t="s">
        <v>33</v>
      </c>
      <c r="M604">
        <v>0</v>
      </c>
      <c r="N604">
        <v>8</v>
      </c>
      <c r="O604" t="s">
        <v>2533</v>
      </c>
    </row>
    <row r="605" spans="1:15">
      <c r="A605" t="s">
        <v>1280</v>
      </c>
      <c r="B605" t="s">
        <v>123</v>
      </c>
      <c r="C605">
        <v>4</v>
      </c>
      <c r="D605">
        <v>21.3</v>
      </c>
      <c r="E605">
        <v>85.2</v>
      </c>
      <c r="F605" s="12">
        <v>45704</v>
      </c>
      <c r="G605" s="12">
        <v>45707</v>
      </c>
      <c r="H605" t="s">
        <v>23</v>
      </c>
      <c r="I605" t="s">
        <v>35</v>
      </c>
      <c r="J605">
        <v>4</v>
      </c>
      <c r="K605" t="s">
        <v>19</v>
      </c>
      <c r="L605" t="s">
        <v>33</v>
      </c>
      <c r="M605">
        <v>3</v>
      </c>
      <c r="N605">
        <v>8</v>
      </c>
      <c r="O605" t="s">
        <v>2531</v>
      </c>
    </row>
    <row r="606" spans="1:15">
      <c r="A606" t="s">
        <v>1266</v>
      </c>
      <c r="B606" t="s">
        <v>26</v>
      </c>
      <c r="C606">
        <v>5</v>
      </c>
      <c r="D606">
        <v>68.2</v>
      </c>
      <c r="E606">
        <v>341</v>
      </c>
      <c r="F606" s="12">
        <v>45703</v>
      </c>
      <c r="G606" s="12">
        <v>45708</v>
      </c>
      <c r="H606" t="s">
        <v>27</v>
      </c>
      <c r="I606" t="s">
        <v>18</v>
      </c>
      <c r="J606">
        <v>5</v>
      </c>
      <c r="K606" t="s">
        <v>19</v>
      </c>
      <c r="L606" t="s">
        <v>33</v>
      </c>
      <c r="M606">
        <v>5</v>
      </c>
      <c r="N606">
        <v>7</v>
      </c>
      <c r="O606" t="s">
        <v>2530</v>
      </c>
    </row>
    <row r="607" spans="1:15">
      <c r="A607" t="s">
        <v>1265</v>
      </c>
      <c r="B607" t="s">
        <v>54</v>
      </c>
      <c r="C607">
        <v>7</v>
      </c>
      <c r="D607">
        <v>31</v>
      </c>
      <c r="E607">
        <v>217</v>
      </c>
      <c r="F607" s="12">
        <v>45703</v>
      </c>
      <c r="G607" s="12">
        <v>45710</v>
      </c>
      <c r="H607" t="s">
        <v>27</v>
      </c>
      <c r="I607" t="s">
        <v>51</v>
      </c>
      <c r="J607">
        <v>5</v>
      </c>
      <c r="K607" t="s">
        <v>19</v>
      </c>
      <c r="L607" t="s">
        <v>33</v>
      </c>
      <c r="M607">
        <v>7</v>
      </c>
      <c r="N607">
        <v>7</v>
      </c>
      <c r="O607" t="s">
        <v>2530</v>
      </c>
    </row>
    <row r="608" spans="1:15">
      <c r="A608" t="s">
        <v>1264</v>
      </c>
      <c r="B608" t="s">
        <v>30</v>
      </c>
      <c r="C608">
        <v>4</v>
      </c>
      <c r="D608">
        <v>71.5</v>
      </c>
      <c r="E608">
        <v>286</v>
      </c>
      <c r="F608" s="12">
        <v>45703</v>
      </c>
      <c r="G608" s="12">
        <v>45703</v>
      </c>
      <c r="H608" t="s">
        <v>27</v>
      </c>
      <c r="I608" t="s">
        <v>35</v>
      </c>
      <c r="J608">
        <v>5</v>
      </c>
      <c r="K608" t="s">
        <v>19</v>
      </c>
      <c r="L608" t="s">
        <v>33</v>
      </c>
      <c r="M608">
        <v>0</v>
      </c>
      <c r="N608">
        <v>7</v>
      </c>
      <c r="O608" t="s">
        <v>2530</v>
      </c>
    </row>
    <row r="609" spans="1:15">
      <c r="A609" t="s">
        <v>1263</v>
      </c>
      <c r="B609" t="s">
        <v>46</v>
      </c>
      <c r="C609">
        <v>1</v>
      </c>
      <c r="D609">
        <v>70.2</v>
      </c>
      <c r="E609">
        <v>70.2</v>
      </c>
      <c r="F609" s="12">
        <v>45703</v>
      </c>
      <c r="G609" s="12">
        <v>45704</v>
      </c>
      <c r="H609" t="s">
        <v>27</v>
      </c>
      <c r="I609" t="s">
        <v>18</v>
      </c>
      <c r="J609">
        <v>2</v>
      </c>
      <c r="K609" t="s">
        <v>19</v>
      </c>
      <c r="L609" t="s">
        <v>33</v>
      </c>
      <c r="M609">
        <v>1</v>
      </c>
      <c r="N609">
        <v>7</v>
      </c>
      <c r="O609" t="s">
        <v>2530</v>
      </c>
    </row>
    <row r="610" spans="1:15">
      <c r="A610" t="s">
        <v>1262</v>
      </c>
      <c r="B610" t="s">
        <v>22</v>
      </c>
      <c r="C610">
        <v>6</v>
      </c>
      <c r="D610">
        <v>39.299999999999997</v>
      </c>
      <c r="E610">
        <v>235.79999999999998</v>
      </c>
      <c r="F610" s="12">
        <v>45703</v>
      </c>
      <c r="G610" s="12">
        <v>45705</v>
      </c>
      <c r="H610" t="s">
        <v>23</v>
      </c>
      <c r="I610" t="s">
        <v>51</v>
      </c>
      <c r="J610">
        <v>5</v>
      </c>
      <c r="K610" t="s">
        <v>19</v>
      </c>
      <c r="L610" t="s">
        <v>33</v>
      </c>
      <c r="M610">
        <v>2</v>
      </c>
      <c r="N610">
        <v>7</v>
      </c>
      <c r="O610" t="s">
        <v>2531</v>
      </c>
    </row>
    <row r="611" spans="1:15">
      <c r="A611" t="s">
        <v>1241</v>
      </c>
      <c r="B611" t="s">
        <v>46</v>
      </c>
      <c r="C611">
        <v>2</v>
      </c>
      <c r="D611">
        <v>37.6</v>
      </c>
      <c r="E611">
        <v>75.2</v>
      </c>
      <c r="F611" s="12">
        <v>45702</v>
      </c>
      <c r="G611" s="12">
        <v>45704</v>
      </c>
      <c r="H611" t="s">
        <v>27</v>
      </c>
      <c r="I611" t="s">
        <v>35</v>
      </c>
      <c r="J611">
        <v>5</v>
      </c>
      <c r="K611" t="s">
        <v>19</v>
      </c>
      <c r="L611" t="s">
        <v>33</v>
      </c>
      <c r="M611">
        <v>2</v>
      </c>
      <c r="N611">
        <v>7</v>
      </c>
      <c r="O611" t="s">
        <v>2530</v>
      </c>
    </row>
    <row r="612" spans="1:15">
      <c r="A612" t="s">
        <v>1240</v>
      </c>
      <c r="B612" t="s">
        <v>32</v>
      </c>
      <c r="C612">
        <v>3</v>
      </c>
      <c r="D612">
        <v>48.5</v>
      </c>
      <c r="E612">
        <v>145.5</v>
      </c>
      <c r="F612" s="12">
        <v>45702</v>
      </c>
      <c r="G612" s="12">
        <v>45704</v>
      </c>
      <c r="H612" t="s">
        <v>27</v>
      </c>
      <c r="I612" t="s">
        <v>18</v>
      </c>
      <c r="J612">
        <v>2</v>
      </c>
      <c r="K612" t="s">
        <v>19</v>
      </c>
      <c r="L612" t="s">
        <v>33</v>
      </c>
      <c r="M612">
        <v>2</v>
      </c>
      <c r="N612">
        <v>7</v>
      </c>
      <c r="O612" t="s">
        <v>2530</v>
      </c>
    </row>
    <row r="613" spans="1:15">
      <c r="A613" t="s">
        <v>1239</v>
      </c>
      <c r="B613" t="s">
        <v>22</v>
      </c>
      <c r="C613">
        <v>12</v>
      </c>
      <c r="D613">
        <v>40.4</v>
      </c>
      <c r="E613">
        <v>484.79999999999995</v>
      </c>
      <c r="F613" s="12">
        <v>45702</v>
      </c>
      <c r="G613" s="12">
        <v>45703</v>
      </c>
      <c r="H613" t="s">
        <v>23</v>
      </c>
      <c r="I613" t="s">
        <v>35</v>
      </c>
      <c r="J613">
        <v>3</v>
      </c>
      <c r="K613" t="s">
        <v>19</v>
      </c>
      <c r="L613" t="s">
        <v>33</v>
      </c>
      <c r="M613">
        <v>1</v>
      </c>
      <c r="N613">
        <v>7</v>
      </c>
      <c r="O613" t="s">
        <v>2531</v>
      </c>
    </row>
    <row r="614" spans="1:15">
      <c r="A614" t="s">
        <v>1238</v>
      </c>
      <c r="B614" t="s">
        <v>26</v>
      </c>
      <c r="C614">
        <v>4</v>
      </c>
      <c r="D614">
        <v>129.1</v>
      </c>
      <c r="E614">
        <v>516.4</v>
      </c>
      <c r="F614" s="12">
        <v>45702</v>
      </c>
      <c r="G614" s="12">
        <v>45712</v>
      </c>
      <c r="H614" t="s">
        <v>23</v>
      </c>
      <c r="I614" t="s">
        <v>18</v>
      </c>
      <c r="J614">
        <v>3</v>
      </c>
      <c r="K614" t="s">
        <v>19</v>
      </c>
      <c r="L614" t="s">
        <v>33</v>
      </c>
      <c r="M614">
        <v>10</v>
      </c>
      <c r="N614">
        <v>7</v>
      </c>
      <c r="O614" t="s">
        <v>2531</v>
      </c>
    </row>
    <row r="615" spans="1:15">
      <c r="A615" t="s">
        <v>707</v>
      </c>
      <c r="B615" t="s">
        <v>54</v>
      </c>
      <c r="C615">
        <v>34</v>
      </c>
      <c r="D615">
        <v>43.6</v>
      </c>
      <c r="E615">
        <v>1482.4</v>
      </c>
      <c r="F615" s="12">
        <v>45683</v>
      </c>
      <c r="G615" s="12">
        <v>45685</v>
      </c>
      <c r="H615" t="s">
        <v>27</v>
      </c>
      <c r="I615" t="s">
        <v>70</v>
      </c>
      <c r="J615">
        <v>3</v>
      </c>
      <c r="K615" t="s">
        <v>19</v>
      </c>
      <c r="L615" t="s">
        <v>33</v>
      </c>
      <c r="M615">
        <v>2</v>
      </c>
      <c r="N615">
        <v>5</v>
      </c>
      <c r="O615" t="s">
        <v>2530</v>
      </c>
    </row>
    <row r="616" spans="1:15">
      <c r="A616" t="s">
        <v>708</v>
      </c>
      <c r="B616" t="s">
        <v>46</v>
      </c>
      <c r="C616">
        <v>4</v>
      </c>
      <c r="D616">
        <v>26.5</v>
      </c>
      <c r="E616">
        <v>106</v>
      </c>
      <c r="F616" s="12">
        <v>45683</v>
      </c>
      <c r="G616" s="12">
        <v>45685</v>
      </c>
      <c r="H616" t="s">
        <v>23</v>
      </c>
      <c r="I616" t="s">
        <v>18</v>
      </c>
      <c r="J616">
        <v>2</v>
      </c>
      <c r="K616" t="s">
        <v>19</v>
      </c>
      <c r="L616" t="s">
        <v>33</v>
      </c>
      <c r="M616">
        <v>2</v>
      </c>
      <c r="N616">
        <v>5</v>
      </c>
      <c r="O616" t="s">
        <v>2531</v>
      </c>
    </row>
    <row r="617" spans="1:15">
      <c r="A617" t="s">
        <v>709</v>
      </c>
      <c r="B617" t="s">
        <v>16</v>
      </c>
      <c r="C617">
        <v>2</v>
      </c>
      <c r="D617">
        <v>34.6</v>
      </c>
      <c r="E617">
        <v>69.2</v>
      </c>
      <c r="F617" s="12">
        <v>45683</v>
      </c>
      <c r="G617" s="12">
        <v>45684</v>
      </c>
      <c r="H617" t="s">
        <v>23</v>
      </c>
      <c r="I617" t="s">
        <v>70</v>
      </c>
      <c r="J617">
        <v>3</v>
      </c>
      <c r="K617" t="s">
        <v>19</v>
      </c>
      <c r="L617" t="s">
        <v>33</v>
      </c>
      <c r="M617">
        <v>1</v>
      </c>
      <c r="N617">
        <v>5</v>
      </c>
      <c r="O617" t="s">
        <v>2531</v>
      </c>
    </row>
    <row r="618" spans="1:15">
      <c r="A618" t="s">
        <v>710</v>
      </c>
      <c r="B618" t="s">
        <v>44</v>
      </c>
      <c r="C618">
        <v>2</v>
      </c>
      <c r="D618">
        <v>58.2</v>
      </c>
      <c r="E618">
        <v>116.4</v>
      </c>
      <c r="F618" s="12">
        <v>45683</v>
      </c>
      <c r="G618" s="12">
        <v>45684</v>
      </c>
      <c r="H618" t="s">
        <v>23</v>
      </c>
      <c r="I618" t="s">
        <v>40</v>
      </c>
      <c r="J618">
        <v>5</v>
      </c>
      <c r="K618" t="s">
        <v>19</v>
      </c>
      <c r="L618" t="s">
        <v>33</v>
      </c>
      <c r="M618">
        <v>1</v>
      </c>
      <c r="N618">
        <v>5</v>
      </c>
      <c r="O618" t="s">
        <v>2531</v>
      </c>
    </row>
    <row r="619" spans="1:15">
      <c r="A619" t="s">
        <v>711</v>
      </c>
      <c r="B619" t="s">
        <v>42</v>
      </c>
      <c r="C619">
        <v>1</v>
      </c>
      <c r="D619">
        <v>30.2</v>
      </c>
      <c r="E619">
        <v>30.2</v>
      </c>
      <c r="F619" s="12">
        <v>45684</v>
      </c>
      <c r="G619" s="12">
        <v>45685</v>
      </c>
      <c r="H619" t="s">
        <v>27</v>
      </c>
      <c r="I619" t="s">
        <v>40</v>
      </c>
      <c r="J619">
        <v>3</v>
      </c>
      <c r="K619" t="s">
        <v>19</v>
      </c>
      <c r="L619" t="s">
        <v>33</v>
      </c>
      <c r="M619">
        <v>1</v>
      </c>
      <c r="N619">
        <v>5</v>
      </c>
      <c r="O619" t="s">
        <v>2530</v>
      </c>
    </row>
    <row r="620" spans="1:15">
      <c r="A620" t="s">
        <v>1221</v>
      </c>
      <c r="B620" t="s">
        <v>16</v>
      </c>
      <c r="C620">
        <v>3</v>
      </c>
      <c r="D620">
        <v>20.6</v>
      </c>
      <c r="E620">
        <v>61.800000000000004</v>
      </c>
      <c r="F620" s="12">
        <v>45702</v>
      </c>
      <c r="G620" s="12">
        <v>45704</v>
      </c>
      <c r="H620" t="s">
        <v>27</v>
      </c>
      <c r="I620" t="s">
        <v>70</v>
      </c>
      <c r="J620">
        <v>5</v>
      </c>
      <c r="K620" t="s">
        <v>19</v>
      </c>
      <c r="L620" t="s">
        <v>33</v>
      </c>
      <c r="M620">
        <v>2</v>
      </c>
      <c r="N620">
        <v>7</v>
      </c>
      <c r="O620" t="s">
        <v>2530</v>
      </c>
    </row>
    <row r="621" spans="1:15">
      <c r="A621" t="s">
        <v>1220</v>
      </c>
      <c r="B621" t="s">
        <v>32</v>
      </c>
      <c r="C621">
        <v>3</v>
      </c>
      <c r="D621">
        <v>38</v>
      </c>
      <c r="E621">
        <v>114</v>
      </c>
      <c r="F621" s="12">
        <v>45702</v>
      </c>
      <c r="G621" s="12">
        <v>45705</v>
      </c>
      <c r="H621" t="s">
        <v>23</v>
      </c>
      <c r="I621" t="s">
        <v>40</v>
      </c>
      <c r="J621">
        <v>2</v>
      </c>
      <c r="K621" t="s">
        <v>19</v>
      </c>
      <c r="L621" t="s">
        <v>33</v>
      </c>
      <c r="M621">
        <v>3</v>
      </c>
      <c r="N621">
        <v>7</v>
      </c>
      <c r="O621" t="s">
        <v>2531</v>
      </c>
    </row>
    <row r="622" spans="1:15">
      <c r="A622" t="s">
        <v>1219</v>
      </c>
      <c r="B622" t="s">
        <v>42</v>
      </c>
      <c r="C622">
        <v>3</v>
      </c>
      <c r="D622">
        <v>49.6</v>
      </c>
      <c r="E622">
        <v>148.80000000000001</v>
      </c>
      <c r="F622" s="12">
        <v>45702</v>
      </c>
      <c r="G622" s="12">
        <v>45704</v>
      </c>
      <c r="H622" t="s">
        <v>27</v>
      </c>
      <c r="I622" t="s">
        <v>18</v>
      </c>
      <c r="J622">
        <v>4</v>
      </c>
      <c r="K622" t="s">
        <v>19</v>
      </c>
      <c r="L622" t="s">
        <v>33</v>
      </c>
      <c r="M622">
        <v>2</v>
      </c>
      <c r="N622">
        <v>7</v>
      </c>
      <c r="O622" t="s">
        <v>2530</v>
      </c>
    </row>
    <row r="623" spans="1:15">
      <c r="A623" t="s">
        <v>1218</v>
      </c>
      <c r="B623" t="s">
        <v>69</v>
      </c>
      <c r="C623">
        <v>2</v>
      </c>
      <c r="D623">
        <v>117</v>
      </c>
      <c r="E623">
        <v>234</v>
      </c>
      <c r="F623" s="12">
        <v>45701</v>
      </c>
      <c r="G623" s="12">
        <v>45702</v>
      </c>
      <c r="H623" t="s">
        <v>27</v>
      </c>
      <c r="I623" t="s">
        <v>35</v>
      </c>
      <c r="J623">
        <v>3</v>
      </c>
      <c r="K623" t="s">
        <v>19</v>
      </c>
      <c r="L623" t="s">
        <v>33</v>
      </c>
      <c r="M623">
        <v>1</v>
      </c>
      <c r="N623">
        <v>7</v>
      </c>
      <c r="O623" t="s">
        <v>2530</v>
      </c>
    </row>
    <row r="624" spans="1:15">
      <c r="A624" t="s">
        <v>1217</v>
      </c>
      <c r="B624" t="s">
        <v>16</v>
      </c>
      <c r="C624">
        <v>5</v>
      </c>
      <c r="D624">
        <v>26.4</v>
      </c>
      <c r="E624">
        <v>132</v>
      </c>
      <c r="F624" s="12">
        <v>45701</v>
      </c>
      <c r="G624" s="12">
        <v>45704</v>
      </c>
      <c r="H624" t="s">
        <v>27</v>
      </c>
      <c r="I624" t="s">
        <v>18</v>
      </c>
      <c r="J624">
        <v>5</v>
      </c>
      <c r="K624" t="s">
        <v>19</v>
      </c>
      <c r="L624" t="s">
        <v>33</v>
      </c>
      <c r="M624">
        <v>3</v>
      </c>
      <c r="N624">
        <v>7</v>
      </c>
      <c r="O624" t="s">
        <v>2530</v>
      </c>
    </row>
    <row r="625" spans="1:15">
      <c r="A625" t="s">
        <v>1216</v>
      </c>
      <c r="B625" t="s">
        <v>39</v>
      </c>
      <c r="C625">
        <v>1</v>
      </c>
      <c r="D625">
        <v>51.9</v>
      </c>
      <c r="E625">
        <v>51.9</v>
      </c>
      <c r="F625" s="12">
        <v>45701</v>
      </c>
      <c r="G625" s="12">
        <v>45701</v>
      </c>
      <c r="H625" t="s">
        <v>27</v>
      </c>
      <c r="I625" t="s">
        <v>18</v>
      </c>
      <c r="J625">
        <v>4</v>
      </c>
      <c r="K625" t="s">
        <v>19</v>
      </c>
      <c r="L625" t="s">
        <v>33</v>
      </c>
      <c r="M625">
        <v>0</v>
      </c>
      <c r="N625">
        <v>7</v>
      </c>
      <c r="O625" t="s">
        <v>2530</v>
      </c>
    </row>
    <row r="626" spans="1:15">
      <c r="A626" t="s">
        <v>1215</v>
      </c>
      <c r="B626" t="s">
        <v>37</v>
      </c>
      <c r="C626">
        <v>5</v>
      </c>
      <c r="D626">
        <v>68.400000000000006</v>
      </c>
      <c r="E626">
        <v>342</v>
      </c>
      <c r="F626" s="12">
        <v>45701</v>
      </c>
      <c r="G626" s="12">
        <v>45702</v>
      </c>
      <c r="H626" t="s">
        <v>27</v>
      </c>
      <c r="I626" t="s">
        <v>18</v>
      </c>
      <c r="J626">
        <v>4</v>
      </c>
      <c r="K626" t="s">
        <v>19</v>
      </c>
      <c r="L626" t="s">
        <v>33</v>
      </c>
      <c r="M626">
        <v>1</v>
      </c>
      <c r="N626">
        <v>7</v>
      </c>
      <c r="O626" t="s">
        <v>2530</v>
      </c>
    </row>
    <row r="627" spans="1:15">
      <c r="A627" t="s">
        <v>1214</v>
      </c>
      <c r="B627" t="s">
        <v>37</v>
      </c>
      <c r="C627">
        <v>8</v>
      </c>
      <c r="D627">
        <v>27.4</v>
      </c>
      <c r="E627">
        <v>219.2</v>
      </c>
      <c r="F627" s="12">
        <v>45701</v>
      </c>
      <c r="G627" s="12">
        <v>45704</v>
      </c>
      <c r="H627" t="s">
        <v>27</v>
      </c>
      <c r="I627" t="s">
        <v>40</v>
      </c>
      <c r="J627">
        <v>4</v>
      </c>
      <c r="K627" t="s">
        <v>19</v>
      </c>
      <c r="L627" t="s">
        <v>33</v>
      </c>
      <c r="M627">
        <v>3</v>
      </c>
      <c r="N627">
        <v>7</v>
      </c>
      <c r="O627" t="s">
        <v>2530</v>
      </c>
    </row>
    <row r="628" spans="1:15">
      <c r="A628" t="s">
        <v>1213</v>
      </c>
      <c r="B628" t="s">
        <v>135</v>
      </c>
      <c r="C628">
        <v>3</v>
      </c>
      <c r="D628">
        <v>23.4</v>
      </c>
      <c r="E628">
        <v>70.199999999999989</v>
      </c>
      <c r="F628" s="12">
        <v>45701</v>
      </c>
      <c r="G628" s="12">
        <v>45705</v>
      </c>
      <c r="H628" t="s">
        <v>27</v>
      </c>
      <c r="I628" t="s">
        <v>18</v>
      </c>
      <c r="J628">
        <v>5</v>
      </c>
      <c r="K628" t="s">
        <v>19</v>
      </c>
      <c r="L628" t="s">
        <v>33</v>
      </c>
      <c r="M628">
        <v>4</v>
      </c>
      <c r="N628">
        <v>7</v>
      </c>
      <c r="O628" t="s">
        <v>2530</v>
      </c>
    </row>
    <row r="629" spans="1:15">
      <c r="A629" t="s">
        <v>1192</v>
      </c>
      <c r="B629" t="s">
        <v>16</v>
      </c>
      <c r="C629">
        <v>2</v>
      </c>
      <c r="D629">
        <v>25.8</v>
      </c>
      <c r="E629">
        <v>51.6</v>
      </c>
      <c r="F629" s="12">
        <v>45700</v>
      </c>
      <c r="G629" s="12">
        <v>45714</v>
      </c>
      <c r="H629" t="s">
        <v>23</v>
      </c>
      <c r="I629" t="s">
        <v>40</v>
      </c>
      <c r="J629">
        <v>4</v>
      </c>
      <c r="K629" t="s">
        <v>19</v>
      </c>
      <c r="L629" t="s">
        <v>33</v>
      </c>
      <c r="M629">
        <v>14</v>
      </c>
      <c r="N629">
        <v>7</v>
      </c>
      <c r="O629" t="s">
        <v>2531</v>
      </c>
    </row>
    <row r="630" spans="1:15">
      <c r="A630" t="s">
        <v>1191</v>
      </c>
      <c r="B630" t="s">
        <v>146</v>
      </c>
      <c r="C630">
        <v>1</v>
      </c>
      <c r="D630">
        <v>73.3</v>
      </c>
      <c r="E630">
        <v>73.3</v>
      </c>
      <c r="F630" s="12">
        <v>45700</v>
      </c>
      <c r="G630" s="12">
        <v>45705</v>
      </c>
      <c r="H630" t="s">
        <v>27</v>
      </c>
      <c r="I630" t="s">
        <v>18</v>
      </c>
      <c r="J630">
        <v>5</v>
      </c>
      <c r="K630" t="s">
        <v>19</v>
      </c>
      <c r="L630" t="s">
        <v>33</v>
      </c>
      <c r="M630">
        <v>5</v>
      </c>
      <c r="N630">
        <v>7</v>
      </c>
      <c r="O630" t="s">
        <v>2530</v>
      </c>
    </row>
    <row r="631" spans="1:15">
      <c r="A631" t="s">
        <v>1190</v>
      </c>
      <c r="B631" t="s">
        <v>26</v>
      </c>
      <c r="C631">
        <v>3</v>
      </c>
      <c r="D631">
        <v>119.7</v>
      </c>
      <c r="E631">
        <v>359.1</v>
      </c>
      <c r="F631" s="12">
        <v>45700</v>
      </c>
      <c r="G631" s="12">
        <v>45701</v>
      </c>
      <c r="H631" t="s">
        <v>27</v>
      </c>
      <c r="I631" t="s">
        <v>35</v>
      </c>
      <c r="J631">
        <v>2</v>
      </c>
      <c r="K631" t="s">
        <v>19</v>
      </c>
      <c r="L631" t="s">
        <v>33</v>
      </c>
      <c r="M631">
        <v>1</v>
      </c>
      <c r="N631">
        <v>7</v>
      </c>
      <c r="O631" t="s">
        <v>2530</v>
      </c>
    </row>
    <row r="632" spans="1:15">
      <c r="A632" t="s">
        <v>1189</v>
      </c>
      <c r="B632" t="s">
        <v>26</v>
      </c>
      <c r="C632">
        <v>20</v>
      </c>
      <c r="D632">
        <v>106.6</v>
      </c>
      <c r="E632">
        <v>2132</v>
      </c>
      <c r="F632" s="12">
        <v>45700</v>
      </c>
      <c r="G632" s="12">
        <v>45701</v>
      </c>
      <c r="H632" t="s">
        <v>17</v>
      </c>
      <c r="I632" t="s">
        <v>35</v>
      </c>
      <c r="J632">
        <v>2</v>
      </c>
      <c r="K632" t="s">
        <v>19</v>
      </c>
      <c r="L632" t="s">
        <v>33</v>
      </c>
      <c r="M632">
        <v>1</v>
      </c>
      <c r="N632">
        <v>7</v>
      </c>
      <c r="O632" t="s">
        <v>2533</v>
      </c>
    </row>
    <row r="633" spans="1:15">
      <c r="A633" t="s">
        <v>725</v>
      </c>
      <c r="B633" t="s">
        <v>46</v>
      </c>
      <c r="C633">
        <v>5</v>
      </c>
      <c r="D633">
        <v>75.8</v>
      </c>
      <c r="E633">
        <v>379</v>
      </c>
      <c r="F633" s="12">
        <v>45685</v>
      </c>
      <c r="G633" s="12">
        <v>45686</v>
      </c>
      <c r="H633" t="s">
        <v>23</v>
      </c>
      <c r="I633" t="s">
        <v>18</v>
      </c>
      <c r="J633">
        <v>5</v>
      </c>
      <c r="K633" t="s">
        <v>19</v>
      </c>
      <c r="L633" t="s">
        <v>33</v>
      </c>
      <c r="M633">
        <v>1</v>
      </c>
      <c r="N633">
        <v>5</v>
      </c>
      <c r="O633" t="s">
        <v>2531</v>
      </c>
    </row>
    <row r="634" spans="1:15">
      <c r="A634" t="s">
        <v>726</v>
      </c>
      <c r="B634" t="s">
        <v>81</v>
      </c>
      <c r="C634">
        <v>5</v>
      </c>
      <c r="D634">
        <v>20.6</v>
      </c>
      <c r="E634">
        <v>103</v>
      </c>
      <c r="F634" s="12">
        <v>45685</v>
      </c>
      <c r="G634" s="12">
        <v>45686</v>
      </c>
      <c r="H634" t="s">
        <v>23</v>
      </c>
      <c r="I634" t="s">
        <v>40</v>
      </c>
      <c r="J634">
        <v>5</v>
      </c>
      <c r="K634" t="s">
        <v>19</v>
      </c>
      <c r="L634" t="s">
        <v>33</v>
      </c>
      <c r="M634">
        <v>1</v>
      </c>
      <c r="N634">
        <v>5</v>
      </c>
      <c r="O634" t="s">
        <v>2531</v>
      </c>
    </row>
    <row r="635" spans="1:15">
      <c r="A635" t="s">
        <v>727</v>
      </c>
      <c r="B635" t="s">
        <v>135</v>
      </c>
      <c r="C635">
        <v>3</v>
      </c>
      <c r="D635">
        <v>67.900000000000006</v>
      </c>
      <c r="E635">
        <v>203.70000000000002</v>
      </c>
      <c r="F635" s="12">
        <v>45685</v>
      </c>
      <c r="G635" s="12">
        <v>45686</v>
      </c>
      <c r="H635" t="s">
        <v>27</v>
      </c>
      <c r="I635" t="s">
        <v>35</v>
      </c>
      <c r="J635">
        <v>3</v>
      </c>
      <c r="K635" t="s">
        <v>19</v>
      </c>
      <c r="L635" t="s">
        <v>33</v>
      </c>
      <c r="M635">
        <v>1</v>
      </c>
      <c r="N635">
        <v>5</v>
      </c>
      <c r="O635" t="s">
        <v>2530</v>
      </c>
    </row>
    <row r="636" spans="1:15">
      <c r="A636" t="s">
        <v>728</v>
      </c>
      <c r="B636" t="s">
        <v>16</v>
      </c>
      <c r="C636">
        <v>5</v>
      </c>
      <c r="D636">
        <v>27</v>
      </c>
      <c r="E636">
        <v>135</v>
      </c>
      <c r="F636" s="12">
        <v>45685</v>
      </c>
      <c r="G636" s="12">
        <v>45692</v>
      </c>
      <c r="H636" t="s">
        <v>27</v>
      </c>
      <c r="I636" t="s">
        <v>18</v>
      </c>
      <c r="J636">
        <v>5</v>
      </c>
      <c r="K636" t="s">
        <v>19</v>
      </c>
      <c r="L636" t="s">
        <v>33</v>
      </c>
      <c r="M636">
        <v>7</v>
      </c>
      <c r="N636">
        <v>5</v>
      </c>
      <c r="O636" t="s">
        <v>2530</v>
      </c>
    </row>
    <row r="637" spans="1:15">
      <c r="A637" t="s">
        <v>729</v>
      </c>
      <c r="B637" t="s">
        <v>76</v>
      </c>
      <c r="C637">
        <v>1</v>
      </c>
      <c r="D637">
        <v>50.6</v>
      </c>
      <c r="E637">
        <v>50.6</v>
      </c>
      <c r="F637" s="12">
        <v>45685</v>
      </c>
      <c r="G637" s="12">
        <v>45685</v>
      </c>
      <c r="H637" t="s">
        <v>23</v>
      </c>
      <c r="I637" t="s">
        <v>18</v>
      </c>
      <c r="J637">
        <v>3</v>
      </c>
      <c r="K637" t="s">
        <v>19</v>
      </c>
      <c r="L637" t="s">
        <v>33</v>
      </c>
      <c r="M637">
        <v>0</v>
      </c>
      <c r="N637">
        <v>5</v>
      </c>
      <c r="O637" t="s">
        <v>2531</v>
      </c>
    </row>
    <row r="638" spans="1:15">
      <c r="A638" t="s">
        <v>730</v>
      </c>
      <c r="B638" t="s">
        <v>32</v>
      </c>
      <c r="C638">
        <v>5</v>
      </c>
      <c r="D638">
        <v>22.1</v>
      </c>
      <c r="E638">
        <v>110.5</v>
      </c>
      <c r="F638" s="12">
        <v>45685</v>
      </c>
      <c r="G638" s="12">
        <v>45690</v>
      </c>
      <c r="H638" t="s">
        <v>23</v>
      </c>
      <c r="I638" t="s">
        <v>18</v>
      </c>
      <c r="J638">
        <v>4</v>
      </c>
      <c r="K638" t="s">
        <v>19</v>
      </c>
      <c r="L638" t="s">
        <v>33</v>
      </c>
      <c r="M638">
        <v>5</v>
      </c>
      <c r="N638">
        <v>5</v>
      </c>
      <c r="O638" t="s">
        <v>2531</v>
      </c>
    </row>
    <row r="639" spans="1:15">
      <c r="A639" t="s">
        <v>731</v>
      </c>
      <c r="B639" t="s">
        <v>44</v>
      </c>
      <c r="C639">
        <v>3</v>
      </c>
      <c r="D639">
        <v>42.9</v>
      </c>
      <c r="E639">
        <v>128.69999999999999</v>
      </c>
      <c r="F639" s="12">
        <v>45685</v>
      </c>
      <c r="G639" s="12">
        <v>45687</v>
      </c>
      <c r="H639" t="s">
        <v>27</v>
      </c>
      <c r="I639" t="s">
        <v>18</v>
      </c>
      <c r="J639">
        <v>4</v>
      </c>
      <c r="K639" t="s">
        <v>19</v>
      </c>
      <c r="L639" t="s">
        <v>33</v>
      </c>
      <c r="M639">
        <v>2</v>
      </c>
      <c r="N639">
        <v>5</v>
      </c>
      <c r="O639" t="s">
        <v>2530</v>
      </c>
    </row>
    <row r="640" spans="1:15">
      <c r="A640" t="s">
        <v>732</v>
      </c>
      <c r="B640" t="s">
        <v>22</v>
      </c>
      <c r="C640">
        <v>11</v>
      </c>
      <c r="D640">
        <v>62.4</v>
      </c>
      <c r="E640">
        <v>686.4</v>
      </c>
      <c r="F640" s="12">
        <v>45685</v>
      </c>
      <c r="G640" s="12">
        <v>45687</v>
      </c>
      <c r="H640" t="s">
        <v>27</v>
      </c>
      <c r="I640" t="s">
        <v>40</v>
      </c>
      <c r="J640">
        <v>4</v>
      </c>
      <c r="K640" t="s">
        <v>19</v>
      </c>
      <c r="L640" t="s">
        <v>33</v>
      </c>
      <c r="M640">
        <v>2</v>
      </c>
      <c r="N640">
        <v>5</v>
      </c>
      <c r="O640" t="s">
        <v>2530</v>
      </c>
    </row>
    <row r="641" spans="1:15">
      <c r="A641" t="s">
        <v>733</v>
      </c>
      <c r="B641" t="s">
        <v>76</v>
      </c>
      <c r="C641">
        <v>9</v>
      </c>
      <c r="D641">
        <v>36.4</v>
      </c>
      <c r="E641">
        <v>327.59999999999997</v>
      </c>
      <c r="F641" s="12">
        <v>45685</v>
      </c>
      <c r="G641" s="12">
        <v>45687</v>
      </c>
      <c r="H641" t="s">
        <v>27</v>
      </c>
      <c r="I641" t="s">
        <v>18</v>
      </c>
      <c r="J641">
        <v>5</v>
      </c>
      <c r="K641" t="s">
        <v>19</v>
      </c>
      <c r="L641" t="s">
        <v>33</v>
      </c>
      <c r="M641">
        <v>2</v>
      </c>
      <c r="N641">
        <v>5</v>
      </c>
      <c r="O641" t="s">
        <v>2530</v>
      </c>
    </row>
    <row r="642" spans="1:15">
      <c r="A642" t="s">
        <v>734</v>
      </c>
      <c r="B642" t="s">
        <v>16</v>
      </c>
      <c r="C642">
        <v>2</v>
      </c>
      <c r="D642">
        <v>22.5</v>
      </c>
      <c r="E642">
        <v>45</v>
      </c>
      <c r="F642" s="12">
        <v>45685</v>
      </c>
      <c r="G642" s="12">
        <v>45688</v>
      </c>
      <c r="H642" t="s">
        <v>23</v>
      </c>
      <c r="I642" t="s">
        <v>18</v>
      </c>
      <c r="J642">
        <v>4</v>
      </c>
      <c r="K642" t="s">
        <v>19</v>
      </c>
      <c r="L642" t="s">
        <v>33</v>
      </c>
      <c r="M642">
        <v>3</v>
      </c>
      <c r="N642">
        <v>5</v>
      </c>
      <c r="O642" t="s">
        <v>2531</v>
      </c>
    </row>
    <row r="643" spans="1:15">
      <c r="A643" t="s">
        <v>735</v>
      </c>
      <c r="B643" t="s">
        <v>39</v>
      </c>
      <c r="C643">
        <v>4</v>
      </c>
      <c r="D643">
        <v>70.8</v>
      </c>
      <c r="E643">
        <v>283.2</v>
      </c>
      <c r="F643" s="12">
        <v>45685</v>
      </c>
      <c r="G643" s="12">
        <v>45687</v>
      </c>
      <c r="H643" t="s">
        <v>27</v>
      </c>
      <c r="I643" t="s">
        <v>70</v>
      </c>
      <c r="J643">
        <v>4</v>
      </c>
      <c r="K643" t="s">
        <v>19</v>
      </c>
      <c r="L643" t="s">
        <v>33</v>
      </c>
      <c r="M643">
        <v>2</v>
      </c>
      <c r="N643">
        <v>5</v>
      </c>
      <c r="O643" t="s">
        <v>2530</v>
      </c>
    </row>
    <row r="644" spans="1:15">
      <c r="A644" t="s">
        <v>1188</v>
      </c>
      <c r="B644" t="s">
        <v>16</v>
      </c>
      <c r="C644">
        <v>2</v>
      </c>
      <c r="D644">
        <v>28.5</v>
      </c>
      <c r="E644">
        <v>57</v>
      </c>
      <c r="F644" s="12">
        <v>45700</v>
      </c>
      <c r="G644" s="12">
        <v>45702</v>
      </c>
      <c r="H644" t="s">
        <v>23</v>
      </c>
      <c r="I644" t="s">
        <v>51</v>
      </c>
      <c r="J644">
        <v>3</v>
      </c>
      <c r="K644" t="s">
        <v>19</v>
      </c>
      <c r="L644" t="s">
        <v>33</v>
      </c>
      <c r="M644">
        <v>2</v>
      </c>
      <c r="N644">
        <v>7</v>
      </c>
      <c r="O644" t="s">
        <v>2531</v>
      </c>
    </row>
    <row r="645" spans="1:15">
      <c r="A645" t="s">
        <v>1169</v>
      </c>
      <c r="B645" t="s">
        <v>42</v>
      </c>
      <c r="C645">
        <v>5</v>
      </c>
      <c r="D645">
        <v>89</v>
      </c>
      <c r="E645">
        <v>445</v>
      </c>
      <c r="F645" s="12">
        <v>45699</v>
      </c>
      <c r="G645" s="12">
        <v>45701</v>
      </c>
      <c r="H645" t="s">
        <v>23</v>
      </c>
      <c r="I645" t="s">
        <v>40</v>
      </c>
      <c r="J645">
        <v>2</v>
      </c>
      <c r="K645" t="s">
        <v>19</v>
      </c>
      <c r="L645" t="s">
        <v>33</v>
      </c>
      <c r="M645">
        <v>2</v>
      </c>
      <c r="N645">
        <v>7</v>
      </c>
      <c r="O645" t="s">
        <v>2531</v>
      </c>
    </row>
    <row r="646" spans="1:15">
      <c r="A646" t="s">
        <v>1168</v>
      </c>
      <c r="B646" t="s">
        <v>44</v>
      </c>
      <c r="C646">
        <v>1</v>
      </c>
      <c r="D646">
        <v>26.5</v>
      </c>
      <c r="E646">
        <v>26.5</v>
      </c>
      <c r="F646" s="12">
        <v>45699</v>
      </c>
      <c r="G646" s="12">
        <v>45701</v>
      </c>
      <c r="H646" t="s">
        <v>27</v>
      </c>
      <c r="I646" t="s">
        <v>35</v>
      </c>
      <c r="J646">
        <v>4</v>
      </c>
      <c r="K646" t="s">
        <v>19</v>
      </c>
      <c r="L646" t="s">
        <v>33</v>
      </c>
      <c r="M646">
        <v>2</v>
      </c>
      <c r="N646">
        <v>7</v>
      </c>
      <c r="O646" t="s">
        <v>2530</v>
      </c>
    </row>
    <row r="647" spans="1:15">
      <c r="A647" t="s">
        <v>1167</v>
      </c>
      <c r="B647" t="s">
        <v>46</v>
      </c>
      <c r="C647">
        <v>2</v>
      </c>
      <c r="D647">
        <v>70.099999999999994</v>
      </c>
      <c r="E647">
        <v>140.19999999999999</v>
      </c>
      <c r="F647" s="12">
        <v>45699</v>
      </c>
      <c r="G647" s="12">
        <v>45707</v>
      </c>
      <c r="H647" t="s">
        <v>27</v>
      </c>
      <c r="I647" t="s">
        <v>51</v>
      </c>
      <c r="J647">
        <v>5</v>
      </c>
      <c r="K647" t="s">
        <v>19</v>
      </c>
      <c r="L647" t="s">
        <v>33</v>
      </c>
      <c r="M647">
        <v>8</v>
      </c>
      <c r="N647">
        <v>7</v>
      </c>
      <c r="O647" t="s">
        <v>2530</v>
      </c>
    </row>
    <row r="648" spans="1:15">
      <c r="A648" t="s">
        <v>1166</v>
      </c>
      <c r="B648" t="s">
        <v>69</v>
      </c>
      <c r="C648">
        <v>3</v>
      </c>
      <c r="D648">
        <v>54</v>
      </c>
      <c r="E648">
        <v>162</v>
      </c>
      <c r="F648" s="12">
        <v>45699</v>
      </c>
      <c r="G648" s="12">
        <v>45702</v>
      </c>
      <c r="H648" t="s">
        <v>23</v>
      </c>
      <c r="I648" t="s">
        <v>18</v>
      </c>
      <c r="J648">
        <v>3</v>
      </c>
      <c r="K648" t="s">
        <v>19</v>
      </c>
      <c r="L648" t="s">
        <v>33</v>
      </c>
      <c r="M648">
        <v>3</v>
      </c>
      <c r="N648">
        <v>7</v>
      </c>
      <c r="O648" t="s">
        <v>2531</v>
      </c>
    </row>
    <row r="649" spans="1:15">
      <c r="A649" t="s">
        <v>1165</v>
      </c>
      <c r="B649" t="s">
        <v>26</v>
      </c>
      <c r="C649">
        <v>2</v>
      </c>
      <c r="D649">
        <v>176.7</v>
      </c>
      <c r="E649">
        <v>353.4</v>
      </c>
      <c r="F649" s="12">
        <v>45699</v>
      </c>
      <c r="G649" s="12">
        <v>45702</v>
      </c>
      <c r="H649" t="s">
        <v>27</v>
      </c>
      <c r="I649" t="s">
        <v>40</v>
      </c>
      <c r="J649">
        <v>4</v>
      </c>
      <c r="K649" t="s">
        <v>19</v>
      </c>
      <c r="L649" t="s">
        <v>33</v>
      </c>
      <c r="M649">
        <v>3</v>
      </c>
      <c r="N649">
        <v>7</v>
      </c>
      <c r="O649" t="s">
        <v>2530</v>
      </c>
    </row>
    <row r="650" spans="1:15">
      <c r="A650" t="s">
        <v>1164</v>
      </c>
      <c r="B650" t="s">
        <v>146</v>
      </c>
      <c r="C650">
        <v>2</v>
      </c>
      <c r="D650">
        <v>53.2</v>
      </c>
      <c r="E650">
        <v>106.4</v>
      </c>
      <c r="F650" s="12">
        <v>45699</v>
      </c>
      <c r="G650" s="12">
        <v>45699</v>
      </c>
      <c r="H650" t="s">
        <v>23</v>
      </c>
      <c r="I650" t="s">
        <v>35</v>
      </c>
      <c r="J650">
        <v>4</v>
      </c>
      <c r="K650" t="s">
        <v>19</v>
      </c>
      <c r="L650" t="s">
        <v>33</v>
      </c>
      <c r="M650">
        <v>0</v>
      </c>
      <c r="N650">
        <v>7</v>
      </c>
      <c r="O650" t="s">
        <v>2531</v>
      </c>
    </row>
    <row r="651" spans="1:15">
      <c r="A651" t="s">
        <v>1163</v>
      </c>
      <c r="B651" t="s">
        <v>44</v>
      </c>
      <c r="C651">
        <v>28</v>
      </c>
      <c r="D651">
        <v>33.799999999999997</v>
      </c>
      <c r="E651">
        <v>946.39999999999986</v>
      </c>
      <c r="F651" s="12">
        <v>45699</v>
      </c>
      <c r="G651" s="12">
        <v>45701</v>
      </c>
      <c r="H651" t="s">
        <v>23</v>
      </c>
      <c r="I651" t="s">
        <v>40</v>
      </c>
      <c r="J651">
        <v>2</v>
      </c>
      <c r="K651" t="s">
        <v>19</v>
      </c>
      <c r="L651" t="s">
        <v>33</v>
      </c>
      <c r="M651">
        <v>2</v>
      </c>
      <c r="N651">
        <v>7</v>
      </c>
      <c r="O651" t="s">
        <v>2531</v>
      </c>
    </row>
    <row r="652" spans="1:15">
      <c r="A652" t="s">
        <v>1162</v>
      </c>
      <c r="B652" t="s">
        <v>44</v>
      </c>
      <c r="C652">
        <v>17</v>
      </c>
      <c r="D652">
        <v>21.9</v>
      </c>
      <c r="E652">
        <v>372.29999999999995</v>
      </c>
      <c r="F652" s="12">
        <v>45699</v>
      </c>
      <c r="G652" s="12">
        <v>45701</v>
      </c>
      <c r="H652" t="s">
        <v>27</v>
      </c>
      <c r="I652" t="s">
        <v>70</v>
      </c>
      <c r="J652">
        <v>3</v>
      </c>
      <c r="K652" t="s">
        <v>19</v>
      </c>
      <c r="L652" t="s">
        <v>33</v>
      </c>
      <c r="M652">
        <v>2</v>
      </c>
      <c r="N652">
        <v>7</v>
      </c>
      <c r="O652" t="s">
        <v>2530</v>
      </c>
    </row>
    <row r="653" spans="1:15">
      <c r="A653" t="s">
        <v>1161</v>
      </c>
      <c r="B653" t="s">
        <v>76</v>
      </c>
      <c r="C653">
        <v>12</v>
      </c>
      <c r="D653">
        <v>16.600000000000001</v>
      </c>
      <c r="E653">
        <v>199.20000000000002</v>
      </c>
      <c r="F653" s="12">
        <v>45699</v>
      </c>
      <c r="G653" s="12">
        <v>45701</v>
      </c>
      <c r="H653" t="s">
        <v>23</v>
      </c>
      <c r="I653" t="s">
        <v>35</v>
      </c>
      <c r="J653">
        <v>4</v>
      </c>
      <c r="K653" t="s">
        <v>19</v>
      </c>
      <c r="L653" t="s">
        <v>33</v>
      </c>
      <c r="M653">
        <v>2</v>
      </c>
      <c r="N653">
        <v>7</v>
      </c>
      <c r="O653" t="s">
        <v>2531</v>
      </c>
    </row>
    <row r="654" spans="1:15">
      <c r="A654" t="s">
        <v>1160</v>
      </c>
      <c r="B654" t="s">
        <v>123</v>
      </c>
      <c r="C654">
        <v>6</v>
      </c>
      <c r="D654">
        <v>83.4</v>
      </c>
      <c r="E654">
        <v>500.40000000000003</v>
      </c>
      <c r="F654" s="12">
        <v>45699</v>
      </c>
      <c r="G654" s="12">
        <v>45700</v>
      </c>
      <c r="H654" t="s">
        <v>23</v>
      </c>
      <c r="I654" t="s">
        <v>35</v>
      </c>
      <c r="J654">
        <v>5</v>
      </c>
      <c r="K654" t="s">
        <v>19</v>
      </c>
      <c r="L654" t="s">
        <v>33</v>
      </c>
      <c r="M654">
        <v>1</v>
      </c>
      <c r="N654">
        <v>7</v>
      </c>
      <c r="O654" t="s">
        <v>2531</v>
      </c>
    </row>
    <row r="655" spans="1:15">
      <c r="A655" t="s">
        <v>1159</v>
      </c>
      <c r="B655" t="s">
        <v>146</v>
      </c>
      <c r="C655">
        <v>2</v>
      </c>
      <c r="D655">
        <v>30.2</v>
      </c>
      <c r="E655">
        <v>60.4</v>
      </c>
      <c r="F655" s="12">
        <v>45699</v>
      </c>
      <c r="G655" s="12">
        <v>45701</v>
      </c>
      <c r="H655" t="s">
        <v>17</v>
      </c>
      <c r="I655" t="s">
        <v>40</v>
      </c>
      <c r="J655">
        <v>5</v>
      </c>
      <c r="K655" t="s">
        <v>19</v>
      </c>
      <c r="L655" t="s">
        <v>33</v>
      </c>
      <c r="M655">
        <v>2</v>
      </c>
      <c r="N655">
        <v>7</v>
      </c>
      <c r="O655" t="s">
        <v>2533</v>
      </c>
    </row>
    <row r="656" spans="1:15">
      <c r="A656" t="s">
        <v>1133</v>
      </c>
      <c r="B656" t="s">
        <v>26</v>
      </c>
      <c r="C656">
        <v>3</v>
      </c>
      <c r="D656">
        <v>74.900000000000006</v>
      </c>
      <c r="E656">
        <v>224.70000000000002</v>
      </c>
      <c r="F656" s="12">
        <v>45698</v>
      </c>
      <c r="G656" s="12">
        <v>45699</v>
      </c>
      <c r="H656" t="s">
        <v>27</v>
      </c>
      <c r="I656" t="s">
        <v>70</v>
      </c>
      <c r="J656">
        <v>4</v>
      </c>
      <c r="K656" t="s">
        <v>19</v>
      </c>
      <c r="L656" t="s">
        <v>33</v>
      </c>
      <c r="M656">
        <v>1</v>
      </c>
      <c r="N656">
        <v>7</v>
      </c>
      <c r="O656" t="s">
        <v>2530</v>
      </c>
    </row>
    <row r="657" spans="1:15">
      <c r="A657" t="s">
        <v>1132</v>
      </c>
      <c r="B657" t="s">
        <v>39</v>
      </c>
      <c r="C657">
        <v>3</v>
      </c>
      <c r="D657">
        <v>58.1</v>
      </c>
      <c r="E657">
        <v>174.3</v>
      </c>
      <c r="F657" s="12">
        <v>45698</v>
      </c>
      <c r="G657" s="12">
        <v>45702</v>
      </c>
      <c r="H657" t="s">
        <v>17</v>
      </c>
      <c r="I657" t="s">
        <v>18</v>
      </c>
      <c r="J657">
        <v>5</v>
      </c>
      <c r="K657" t="s">
        <v>19</v>
      </c>
      <c r="L657" t="s">
        <v>33</v>
      </c>
      <c r="M657">
        <v>4</v>
      </c>
      <c r="N657">
        <v>7</v>
      </c>
      <c r="O657" t="s">
        <v>2533</v>
      </c>
    </row>
    <row r="658" spans="1:15">
      <c r="A658" t="s">
        <v>1131</v>
      </c>
      <c r="B658" t="s">
        <v>44</v>
      </c>
      <c r="C658">
        <v>5</v>
      </c>
      <c r="D658">
        <v>25.3</v>
      </c>
      <c r="E658">
        <v>126.5</v>
      </c>
      <c r="F658" s="12">
        <v>45698</v>
      </c>
      <c r="G658" s="12">
        <v>45702</v>
      </c>
      <c r="H658" t="s">
        <v>27</v>
      </c>
      <c r="I658" t="s">
        <v>18</v>
      </c>
      <c r="J658">
        <v>5</v>
      </c>
      <c r="K658" t="s">
        <v>19</v>
      </c>
      <c r="L658" t="s">
        <v>33</v>
      </c>
      <c r="M658">
        <v>4</v>
      </c>
      <c r="N658">
        <v>7</v>
      </c>
      <c r="O658" t="s">
        <v>2530</v>
      </c>
    </row>
    <row r="659" spans="1:15">
      <c r="A659" t="s">
        <v>1130</v>
      </c>
      <c r="B659" t="s">
        <v>37</v>
      </c>
      <c r="C659">
        <v>5</v>
      </c>
      <c r="D659">
        <v>90.5</v>
      </c>
      <c r="E659">
        <v>452.5</v>
      </c>
      <c r="F659" s="12">
        <v>45698</v>
      </c>
      <c r="G659" s="12">
        <v>45705</v>
      </c>
      <c r="H659" t="s">
        <v>23</v>
      </c>
      <c r="I659" t="s">
        <v>18</v>
      </c>
      <c r="J659">
        <v>5</v>
      </c>
      <c r="K659" t="s">
        <v>19</v>
      </c>
      <c r="L659" t="s">
        <v>33</v>
      </c>
      <c r="M659">
        <v>7</v>
      </c>
      <c r="N659">
        <v>7</v>
      </c>
      <c r="O659" t="s">
        <v>2531</v>
      </c>
    </row>
    <row r="660" spans="1:15">
      <c r="A660" t="s">
        <v>1129</v>
      </c>
      <c r="B660" t="s">
        <v>54</v>
      </c>
      <c r="C660">
        <v>2</v>
      </c>
      <c r="D660">
        <v>30.7</v>
      </c>
      <c r="E660">
        <v>61.4</v>
      </c>
      <c r="F660" s="12">
        <v>45698</v>
      </c>
      <c r="G660" s="12">
        <v>45699</v>
      </c>
      <c r="H660" t="s">
        <v>27</v>
      </c>
      <c r="I660" t="s">
        <v>18</v>
      </c>
      <c r="J660">
        <v>3</v>
      </c>
      <c r="K660" t="s">
        <v>19</v>
      </c>
      <c r="L660" t="s">
        <v>33</v>
      </c>
      <c r="M660">
        <v>1</v>
      </c>
      <c r="N660">
        <v>7</v>
      </c>
      <c r="O660" t="s">
        <v>2530</v>
      </c>
    </row>
    <row r="661" spans="1:15">
      <c r="A661" t="s">
        <v>1128</v>
      </c>
      <c r="B661" t="s">
        <v>39</v>
      </c>
      <c r="C661">
        <v>2</v>
      </c>
      <c r="D661">
        <v>94</v>
      </c>
      <c r="E661">
        <v>188</v>
      </c>
      <c r="F661" s="12">
        <v>45698</v>
      </c>
      <c r="G661" s="12">
        <v>45699</v>
      </c>
      <c r="H661" t="s">
        <v>23</v>
      </c>
      <c r="I661" t="s">
        <v>40</v>
      </c>
      <c r="J661">
        <v>5</v>
      </c>
      <c r="K661" t="s">
        <v>19</v>
      </c>
      <c r="L661" t="s">
        <v>33</v>
      </c>
      <c r="M661">
        <v>1</v>
      </c>
      <c r="N661">
        <v>7</v>
      </c>
      <c r="O661" t="s">
        <v>2531</v>
      </c>
    </row>
    <row r="662" spans="1:15">
      <c r="A662" t="s">
        <v>1127</v>
      </c>
      <c r="B662" t="s">
        <v>54</v>
      </c>
      <c r="C662">
        <v>3</v>
      </c>
      <c r="D662">
        <v>31.9</v>
      </c>
      <c r="E662">
        <v>95.699999999999989</v>
      </c>
      <c r="F662" s="12">
        <v>45698</v>
      </c>
      <c r="G662" s="12">
        <v>45703</v>
      </c>
      <c r="H662" t="s">
        <v>27</v>
      </c>
      <c r="I662" t="s">
        <v>18</v>
      </c>
      <c r="J662">
        <v>4</v>
      </c>
      <c r="K662" t="s">
        <v>19</v>
      </c>
      <c r="L662" t="s">
        <v>33</v>
      </c>
      <c r="M662">
        <v>5</v>
      </c>
      <c r="N662">
        <v>7</v>
      </c>
      <c r="O662" t="s">
        <v>2530</v>
      </c>
    </row>
    <row r="663" spans="1:15">
      <c r="A663" t="s">
        <v>755</v>
      </c>
      <c r="B663" t="s">
        <v>54</v>
      </c>
      <c r="C663">
        <v>1</v>
      </c>
      <c r="D663">
        <v>26</v>
      </c>
      <c r="E663">
        <v>26</v>
      </c>
      <c r="F663" s="12">
        <v>45686</v>
      </c>
      <c r="G663" s="12">
        <v>45688</v>
      </c>
      <c r="H663" t="s">
        <v>23</v>
      </c>
      <c r="I663" t="s">
        <v>18</v>
      </c>
      <c r="J663">
        <v>4</v>
      </c>
      <c r="K663" t="s">
        <v>19</v>
      </c>
      <c r="L663" t="s">
        <v>33</v>
      </c>
      <c r="M663">
        <v>2</v>
      </c>
      <c r="N663">
        <v>5</v>
      </c>
      <c r="O663" t="s">
        <v>2531</v>
      </c>
    </row>
    <row r="664" spans="1:15">
      <c r="A664" t="s">
        <v>756</v>
      </c>
      <c r="B664" t="s">
        <v>26</v>
      </c>
      <c r="C664">
        <v>5</v>
      </c>
      <c r="D664">
        <v>94.4</v>
      </c>
      <c r="E664">
        <v>472</v>
      </c>
      <c r="F664" s="12">
        <v>45686</v>
      </c>
      <c r="G664" s="12">
        <v>45687</v>
      </c>
      <c r="H664" t="s">
        <v>27</v>
      </c>
      <c r="I664" t="s">
        <v>18</v>
      </c>
      <c r="J664">
        <v>4</v>
      </c>
      <c r="K664" t="s">
        <v>19</v>
      </c>
      <c r="L664" t="s">
        <v>33</v>
      </c>
      <c r="M664">
        <v>1</v>
      </c>
      <c r="N664">
        <v>5</v>
      </c>
      <c r="O664" t="s">
        <v>2530</v>
      </c>
    </row>
    <row r="665" spans="1:15">
      <c r="A665" t="s">
        <v>757</v>
      </c>
      <c r="B665" t="s">
        <v>16</v>
      </c>
      <c r="C665">
        <v>6</v>
      </c>
      <c r="D665">
        <v>23.7</v>
      </c>
      <c r="E665">
        <v>142.19999999999999</v>
      </c>
      <c r="F665" s="12">
        <v>45686</v>
      </c>
      <c r="G665" s="12">
        <v>45688</v>
      </c>
      <c r="H665" t="s">
        <v>23</v>
      </c>
      <c r="I665" t="s">
        <v>40</v>
      </c>
      <c r="J665">
        <v>5</v>
      </c>
      <c r="K665" t="s">
        <v>19</v>
      </c>
      <c r="L665" t="s">
        <v>33</v>
      </c>
      <c r="M665">
        <v>2</v>
      </c>
      <c r="N665">
        <v>5</v>
      </c>
      <c r="O665" t="s">
        <v>2531</v>
      </c>
    </row>
    <row r="666" spans="1:15">
      <c r="A666" t="s">
        <v>758</v>
      </c>
      <c r="B666" t="s">
        <v>46</v>
      </c>
      <c r="C666">
        <v>12</v>
      </c>
      <c r="D666">
        <v>37.4</v>
      </c>
      <c r="E666">
        <v>448.79999999999995</v>
      </c>
      <c r="F666" s="12">
        <v>45686</v>
      </c>
      <c r="G666" s="12">
        <v>45688</v>
      </c>
      <c r="H666" t="s">
        <v>23</v>
      </c>
      <c r="I666" t="s">
        <v>40</v>
      </c>
      <c r="J666">
        <v>4</v>
      </c>
      <c r="K666" t="s">
        <v>19</v>
      </c>
      <c r="L666" t="s">
        <v>33</v>
      </c>
      <c r="M666">
        <v>2</v>
      </c>
      <c r="N666">
        <v>5</v>
      </c>
      <c r="O666" t="s">
        <v>2531</v>
      </c>
    </row>
    <row r="667" spans="1:15">
      <c r="A667" t="s">
        <v>759</v>
      </c>
      <c r="B667" t="s">
        <v>22</v>
      </c>
      <c r="C667">
        <v>36</v>
      </c>
      <c r="D667">
        <v>55.2</v>
      </c>
      <c r="E667">
        <v>1987.2</v>
      </c>
      <c r="F667" s="12">
        <v>45686</v>
      </c>
      <c r="G667" s="12">
        <v>45686</v>
      </c>
      <c r="H667" t="s">
        <v>27</v>
      </c>
      <c r="I667" t="s">
        <v>51</v>
      </c>
      <c r="J667">
        <v>3</v>
      </c>
      <c r="K667" t="s">
        <v>19</v>
      </c>
      <c r="L667" t="s">
        <v>33</v>
      </c>
      <c r="M667">
        <v>0</v>
      </c>
      <c r="N667">
        <v>5</v>
      </c>
      <c r="O667" t="s">
        <v>2530</v>
      </c>
    </row>
    <row r="668" spans="1:15">
      <c r="A668" t="s">
        <v>760</v>
      </c>
      <c r="B668" t="s">
        <v>26</v>
      </c>
      <c r="C668">
        <v>9</v>
      </c>
      <c r="D668">
        <v>57.1</v>
      </c>
      <c r="E668">
        <v>513.9</v>
      </c>
      <c r="F668" s="12">
        <v>45686</v>
      </c>
      <c r="G668" s="12">
        <v>45688</v>
      </c>
      <c r="H668" t="s">
        <v>23</v>
      </c>
      <c r="I668" t="s">
        <v>18</v>
      </c>
      <c r="J668">
        <v>5</v>
      </c>
      <c r="K668" t="s">
        <v>19</v>
      </c>
      <c r="L668" t="s">
        <v>33</v>
      </c>
      <c r="M668">
        <v>2</v>
      </c>
      <c r="N668">
        <v>5</v>
      </c>
      <c r="O668" t="s">
        <v>2531</v>
      </c>
    </row>
    <row r="669" spans="1:15">
      <c r="A669" t="s">
        <v>761</v>
      </c>
      <c r="B669" t="s">
        <v>69</v>
      </c>
      <c r="C669">
        <v>1</v>
      </c>
      <c r="D669">
        <v>55.3</v>
      </c>
      <c r="E669">
        <v>55.3</v>
      </c>
      <c r="F669" s="12">
        <v>45686</v>
      </c>
      <c r="G669" s="12">
        <v>45687</v>
      </c>
      <c r="H669" t="s">
        <v>27</v>
      </c>
      <c r="I669" t="s">
        <v>40</v>
      </c>
      <c r="J669">
        <v>5</v>
      </c>
      <c r="K669" t="s">
        <v>19</v>
      </c>
      <c r="L669" t="s">
        <v>33</v>
      </c>
      <c r="M669">
        <v>1</v>
      </c>
      <c r="N669">
        <v>5</v>
      </c>
      <c r="O669" t="s">
        <v>2530</v>
      </c>
    </row>
    <row r="670" spans="1:15">
      <c r="A670" t="s">
        <v>762</v>
      </c>
      <c r="B670" t="s">
        <v>123</v>
      </c>
      <c r="C670">
        <v>7</v>
      </c>
      <c r="D670">
        <v>23.9</v>
      </c>
      <c r="E670">
        <v>167.29999999999998</v>
      </c>
      <c r="F670" s="12">
        <v>45686</v>
      </c>
      <c r="G670" s="12">
        <v>45687</v>
      </c>
      <c r="H670" t="s">
        <v>27</v>
      </c>
      <c r="I670" t="s">
        <v>70</v>
      </c>
      <c r="J670">
        <v>3</v>
      </c>
      <c r="K670" t="s">
        <v>19</v>
      </c>
      <c r="L670" t="s">
        <v>33</v>
      </c>
      <c r="M670">
        <v>1</v>
      </c>
      <c r="N670">
        <v>5</v>
      </c>
      <c r="O670" t="s">
        <v>2530</v>
      </c>
    </row>
    <row r="671" spans="1:15">
      <c r="A671" t="s">
        <v>763</v>
      </c>
      <c r="B671" t="s">
        <v>16</v>
      </c>
      <c r="C671">
        <v>1</v>
      </c>
      <c r="D671">
        <v>34.1</v>
      </c>
      <c r="E671">
        <v>34.1</v>
      </c>
      <c r="F671" s="12">
        <v>45686</v>
      </c>
      <c r="G671" s="12">
        <v>45693</v>
      </c>
      <c r="H671" t="s">
        <v>27</v>
      </c>
      <c r="I671" t="s">
        <v>40</v>
      </c>
      <c r="J671">
        <v>4</v>
      </c>
      <c r="K671" t="s">
        <v>19</v>
      </c>
      <c r="L671" t="s">
        <v>33</v>
      </c>
      <c r="M671">
        <v>7</v>
      </c>
      <c r="N671">
        <v>5</v>
      </c>
      <c r="O671" t="s">
        <v>2530</v>
      </c>
    </row>
    <row r="672" spans="1:15">
      <c r="A672" t="s">
        <v>764</v>
      </c>
      <c r="B672" t="s">
        <v>69</v>
      </c>
      <c r="C672">
        <v>4</v>
      </c>
      <c r="D672">
        <v>38.5</v>
      </c>
      <c r="E672">
        <v>154</v>
      </c>
      <c r="F672" s="12">
        <v>45686</v>
      </c>
      <c r="G672" s="12">
        <v>45697</v>
      </c>
      <c r="H672" t="s">
        <v>27</v>
      </c>
      <c r="I672" t="s">
        <v>18</v>
      </c>
      <c r="J672">
        <v>4</v>
      </c>
      <c r="K672" t="s">
        <v>19</v>
      </c>
      <c r="L672" t="s">
        <v>33</v>
      </c>
      <c r="M672">
        <v>11</v>
      </c>
      <c r="N672">
        <v>5</v>
      </c>
      <c r="O672" t="s">
        <v>2530</v>
      </c>
    </row>
    <row r="673" spans="1:15">
      <c r="A673" t="s">
        <v>765</v>
      </c>
      <c r="B673" t="s">
        <v>42</v>
      </c>
      <c r="C673">
        <v>2</v>
      </c>
      <c r="D673">
        <v>105</v>
      </c>
      <c r="E673">
        <v>210</v>
      </c>
      <c r="F673" s="12">
        <v>45686</v>
      </c>
      <c r="G673" s="12">
        <v>45692</v>
      </c>
      <c r="H673" t="s">
        <v>27</v>
      </c>
      <c r="I673" t="s">
        <v>18</v>
      </c>
      <c r="J673">
        <v>5</v>
      </c>
      <c r="K673" t="s">
        <v>19</v>
      </c>
      <c r="L673" t="s">
        <v>33</v>
      </c>
      <c r="M673">
        <v>6</v>
      </c>
      <c r="N673">
        <v>5</v>
      </c>
      <c r="O673" t="s">
        <v>2530</v>
      </c>
    </row>
    <row r="674" spans="1:15">
      <c r="A674" t="s">
        <v>766</v>
      </c>
      <c r="B674" t="s">
        <v>44</v>
      </c>
      <c r="C674">
        <v>5</v>
      </c>
      <c r="D674">
        <v>45.2</v>
      </c>
      <c r="E674">
        <v>226</v>
      </c>
      <c r="F674" s="12">
        <v>45686</v>
      </c>
      <c r="G674" s="12">
        <v>45688</v>
      </c>
      <c r="H674" t="s">
        <v>27</v>
      </c>
      <c r="I674" t="s">
        <v>18</v>
      </c>
      <c r="J674">
        <v>5</v>
      </c>
      <c r="K674" t="s">
        <v>19</v>
      </c>
      <c r="L674" t="s">
        <v>33</v>
      </c>
      <c r="M674">
        <v>2</v>
      </c>
      <c r="N674">
        <v>5</v>
      </c>
      <c r="O674" t="s">
        <v>2530</v>
      </c>
    </row>
    <row r="675" spans="1:15">
      <c r="A675" t="s">
        <v>767</v>
      </c>
      <c r="B675" t="s">
        <v>135</v>
      </c>
      <c r="C675">
        <v>3</v>
      </c>
      <c r="D675">
        <v>24.8</v>
      </c>
      <c r="E675">
        <v>74.400000000000006</v>
      </c>
      <c r="F675" s="12">
        <v>45686</v>
      </c>
      <c r="G675" s="12">
        <v>45686</v>
      </c>
      <c r="H675" t="s">
        <v>17</v>
      </c>
      <c r="I675" t="s">
        <v>18</v>
      </c>
      <c r="J675">
        <v>3</v>
      </c>
      <c r="K675" t="s">
        <v>19</v>
      </c>
      <c r="L675" t="s">
        <v>33</v>
      </c>
      <c r="M675">
        <v>0</v>
      </c>
      <c r="N675">
        <v>5</v>
      </c>
      <c r="O675" t="s">
        <v>2533</v>
      </c>
    </row>
    <row r="676" spans="1:15">
      <c r="A676" t="s">
        <v>1126</v>
      </c>
      <c r="B676" t="s">
        <v>22</v>
      </c>
      <c r="C676">
        <v>1</v>
      </c>
      <c r="D676">
        <v>32.9</v>
      </c>
      <c r="E676">
        <v>32.9</v>
      </c>
      <c r="F676" s="12">
        <v>45698</v>
      </c>
      <c r="G676" s="12">
        <v>45703</v>
      </c>
      <c r="H676" t="s">
        <v>27</v>
      </c>
      <c r="I676" t="s">
        <v>18</v>
      </c>
      <c r="J676">
        <v>4</v>
      </c>
      <c r="K676" t="s">
        <v>19</v>
      </c>
      <c r="L676" t="s">
        <v>33</v>
      </c>
      <c r="M676">
        <v>5</v>
      </c>
      <c r="N676">
        <v>7</v>
      </c>
      <c r="O676" t="s">
        <v>2530</v>
      </c>
    </row>
    <row r="677" spans="1:15">
      <c r="A677" t="s">
        <v>1125</v>
      </c>
      <c r="B677" t="s">
        <v>16</v>
      </c>
      <c r="C677">
        <v>3</v>
      </c>
      <c r="D677">
        <v>22.3</v>
      </c>
      <c r="E677">
        <v>66.900000000000006</v>
      </c>
      <c r="F677" s="12">
        <v>45698</v>
      </c>
      <c r="G677" s="12">
        <v>45701</v>
      </c>
      <c r="H677" t="s">
        <v>27</v>
      </c>
      <c r="I677" t="s">
        <v>40</v>
      </c>
      <c r="J677">
        <v>4</v>
      </c>
      <c r="K677" t="s">
        <v>19</v>
      </c>
      <c r="L677" t="s">
        <v>33</v>
      </c>
      <c r="M677">
        <v>3</v>
      </c>
      <c r="N677">
        <v>7</v>
      </c>
      <c r="O677" t="s">
        <v>2530</v>
      </c>
    </row>
    <row r="678" spans="1:15">
      <c r="A678" t="s">
        <v>1124</v>
      </c>
      <c r="B678" t="s">
        <v>16</v>
      </c>
      <c r="C678">
        <v>5</v>
      </c>
      <c r="D678">
        <v>22.3</v>
      </c>
      <c r="E678">
        <v>111.5</v>
      </c>
      <c r="F678" s="12">
        <v>45698</v>
      </c>
      <c r="G678" s="12">
        <v>45702</v>
      </c>
      <c r="H678" t="s">
        <v>27</v>
      </c>
      <c r="I678" t="s">
        <v>40</v>
      </c>
      <c r="J678">
        <v>3</v>
      </c>
      <c r="K678" t="s">
        <v>19</v>
      </c>
      <c r="L678" t="s">
        <v>33</v>
      </c>
      <c r="M678">
        <v>4</v>
      </c>
      <c r="N678">
        <v>7</v>
      </c>
      <c r="O678" t="s">
        <v>2530</v>
      </c>
    </row>
    <row r="679" spans="1:15">
      <c r="A679" t="s">
        <v>1123</v>
      </c>
      <c r="B679" t="s">
        <v>22</v>
      </c>
      <c r="C679">
        <v>2</v>
      </c>
      <c r="D679">
        <v>38.299999999999997</v>
      </c>
      <c r="E679">
        <v>76.599999999999994</v>
      </c>
      <c r="F679" s="12">
        <v>45698</v>
      </c>
      <c r="G679" s="12">
        <v>45699</v>
      </c>
      <c r="H679" t="s">
        <v>27</v>
      </c>
      <c r="I679" t="s">
        <v>35</v>
      </c>
      <c r="J679">
        <v>4</v>
      </c>
      <c r="K679" t="s">
        <v>19</v>
      </c>
      <c r="L679" t="s">
        <v>33</v>
      </c>
      <c r="M679">
        <v>1</v>
      </c>
      <c r="N679">
        <v>7</v>
      </c>
      <c r="O679" t="s">
        <v>2530</v>
      </c>
    </row>
    <row r="680" spans="1:15">
      <c r="A680" t="s">
        <v>1098</v>
      </c>
      <c r="B680" t="s">
        <v>42</v>
      </c>
      <c r="C680">
        <v>2</v>
      </c>
      <c r="D680">
        <v>33.6</v>
      </c>
      <c r="E680">
        <v>67.2</v>
      </c>
      <c r="F680" s="12">
        <v>45697</v>
      </c>
      <c r="G680" s="12">
        <v>45701</v>
      </c>
      <c r="H680" t="s">
        <v>27</v>
      </c>
      <c r="I680" t="s">
        <v>40</v>
      </c>
      <c r="J680">
        <v>5</v>
      </c>
      <c r="K680" t="s">
        <v>19</v>
      </c>
      <c r="L680" t="s">
        <v>33</v>
      </c>
      <c r="M680">
        <v>4</v>
      </c>
      <c r="N680">
        <v>7</v>
      </c>
      <c r="O680" t="s">
        <v>2530</v>
      </c>
    </row>
    <row r="681" spans="1:15">
      <c r="A681" t="s">
        <v>1097</v>
      </c>
      <c r="B681" t="s">
        <v>135</v>
      </c>
      <c r="C681">
        <v>1</v>
      </c>
      <c r="D681">
        <v>48.5</v>
      </c>
      <c r="E681">
        <v>48.5</v>
      </c>
      <c r="F681" s="12">
        <v>45697</v>
      </c>
      <c r="G681" s="12">
        <v>45698</v>
      </c>
      <c r="H681" t="s">
        <v>27</v>
      </c>
      <c r="I681" t="s">
        <v>18</v>
      </c>
      <c r="J681">
        <v>3</v>
      </c>
      <c r="K681" t="s">
        <v>19</v>
      </c>
      <c r="L681" t="s">
        <v>33</v>
      </c>
      <c r="M681">
        <v>1</v>
      </c>
      <c r="N681">
        <v>7</v>
      </c>
      <c r="O681" t="s">
        <v>2530</v>
      </c>
    </row>
    <row r="682" spans="1:15">
      <c r="A682" t="s">
        <v>1096</v>
      </c>
      <c r="B682" t="s">
        <v>44</v>
      </c>
      <c r="C682">
        <v>4</v>
      </c>
      <c r="D682">
        <v>25.1</v>
      </c>
      <c r="E682">
        <v>100.4</v>
      </c>
      <c r="F682" s="12">
        <v>45697</v>
      </c>
      <c r="G682" s="12">
        <v>45699</v>
      </c>
      <c r="H682" t="s">
        <v>27</v>
      </c>
      <c r="I682" t="s">
        <v>35</v>
      </c>
      <c r="J682">
        <v>4</v>
      </c>
      <c r="K682" t="s">
        <v>19</v>
      </c>
      <c r="L682" t="s">
        <v>33</v>
      </c>
      <c r="M682">
        <v>2</v>
      </c>
      <c r="N682">
        <v>7</v>
      </c>
      <c r="O682" t="s">
        <v>2530</v>
      </c>
    </row>
    <row r="683" spans="1:15">
      <c r="A683" t="s">
        <v>1095</v>
      </c>
      <c r="B683" t="s">
        <v>39</v>
      </c>
      <c r="C683">
        <v>2</v>
      </c>
      <c r="D683">
        <v>100.8</v>
      </c>
      <c r="E683">
        <v>201.6</v>
      </c>
      <c r="F683" s="12">
        <v>45697</v>
      </c>
      <c r="G683" s="12">
        <v>45700</v>
      </c>
      <c r="H683" t="s">
        <v>27</v>
      </c>
      <c r="I683" t="s">
        <v>18</v>
      </c>
      <c r="J683">
        <v>4</v>
      </c>
      <c r="K683" t="s">
        <v>19</v>
      </c>
      <c r="L683" t="s">
        <v>33</v>
      </c>
      <c r="M683">
        <v>3</v>
      </c>
      <c r="N683">
        <v>7</v>
      </c>
      <c r="O683" t="s">
        <v>2530</v>
      </c>
    </row>
    <row r="684" spans="1:15">
      <c r="A684" t="s">
        <v>1094</v>
      </c>
      <c r="B684" t="s">
        <v>81</v>
      </c>
      <c r="C684">
        <v>1</v>
      </c>
      <c r="D684">
        <v>32.9</v>
      </c>
      <c r="E684">
        <v>32.9</v>
      </c>
      <c r="F684" s="12">
        <v>45697</v>
      </c>
      <c r="G684" s="12">
        <v>45700</v>
      </c>
      <c r="H684" t="s">
        <v>27</v>
      </c>
      <c r="I684" t="s">
        <v>70</v>
      </c>
      <c r="J684">
        <v>4</v>
      </c>
      <c r="K684" t="s">
        <v>19</v>
      </c>
      <c r="L684" t="s">
        <v>33</v>
      </c>
      <c r="M684">
        <v>3</v>
      </c>
      <c r="N684">
        <v>7</v>
      </c>
      <c r="O684" t="s">
        <v>2530</v>
      </c>
    </row>
    <row r="685" spans="1:15">
      <c r="A685" t="s">
        <v>1093</v>
      </c>
      <c r="B685" t="s">
        <v>37</v>
      </c>
      <c r="C685">
        <v>22</v>
      </c>
      <c r="D685">
        <v>61.3</v>
      </c>
      <c r="E685">
        <v>1348.6</v>
      </c>
      <c r="F685" s="12">
        <v>45697</v>
      </c>
      <c r="G685" s="12">
        <v>45698</v>
      </c>
      <c r="H685" t="s">
        <v>27</v>
      </c>
      <c r="I685" t="s">
        <v>18</v>
      </c>
      <c r="J685">
        <v>5</v>
      </c>
      <c r="K685" t="s">
        <v>19</v>
      </c>
      <c r="L685" t="s">
        <v>33</v>
      </c>
      <c r="M685">
        <v>1</v>
      </c>
      <c r="N685">
        <v>7</v>
      </c>
      <c r="O685" t="s">
        <v>2530</v>
      </c>
    </row>
    <row r="686" spans="1:15">
      <c r="A686" t="s">
        <v>1092</v>
      </c>
      <c r="B686" t="s">
        <v>26</v>
      </c>
      <c r="C686">
        <v>4</v>
      </c>
      <c r="D686">
        <v>64.8</v>
      </c>
      <c r="E686">
        <v>259.2</v>
      </c>
      <c r="F686" s="12">
        <v>45697</v>
      </c>
      <c r="G686" s="12">
        <v>45700</v>
      </c>
      <c r="H686" t="s">
        <v>27</v>
      </c>
      <c r="I686" t="s">
        <v>51</v>
      </c>
      <c r="J686">
        <v>4</v>
      </c>
      <c r="K686" t="s">
        <v>19</v>
      </c>
      <c r="L686" t="s">
        <v>33</v>
      </c>
      <c r="M686">
        <v>3</v>
      </c>
      <c r="N686">
        <v>7</v>
      </c>
      <c r="O686" t="s">
        <v>2530</v>
      </c>
    </row>
    <row r="687" spans="1:15">
      <c r="A687" t="s">
        <v>1091</v>
      </c>
      <c r="B687" t="s">
        <v>26</v>
      </c>
      <c r="C687">
        <v>19</v>
      </c>
      <c r="D687">
        <v>67.3</v>
      </c>
      <c r="E687">
        <v>1278.7</v>
      </c>
      <c r="F687" s="12">
        <v>45697</v>
      </c>
      <c r="G687" s="12">
        <v>45701</v>
      </c>
      <c r="H687" t="s">
        <v>27</v>
      </c>
      <c r="I687" t="s">
        <v>40</v>
      </c>
      <c r="J687">
        <v>4</v>
      </c>
      <c r="K687" t="s">
        <v>19</v>
      </c>
      <c r="L687" t="s">
        <v>33</v>
      </c>
      <c r="M687">
        <v>4</v>
      </c>
      <c r="N687">
        <v>7</v>
      </c>
      <c r="O687" t="s">
        <v>2530</v>
      </c>
    </row>
    <row r="688" spans="1:15">
      <c r="A688" t="s">
        <v>1090</v>
      </c>
      <c r="B688" t="s">
        <v>37</v>
      </c>
      <c r="C688">
        <v>2</v>
      </c>
      <c r="D688">
        <v>50.7</v>
      </c>
      <c r="E688">
        <v>101.4</v>
      </c>
      <c r="F688" s="12">
        <v>45697</v>
      </c>
      <c r="G688" s="12">
        <v>45698</v>
      </c>
      <c r="H688" t="s">
        <v>89</v>
      </c>
      <c r="I688" t="s">
        <v>40</v>
      </c>
      <c r="J688">
        <v>5</v>
      </c>
      <c r="K688" t="s">
        <v>19</v>
      </c>
      <c r="L688" t="s">
        <v>33</v>
      </c>
      <c r="M688">
        <v>1</v>
      </c>
      <c r="N688">
        <v>7</v>
      </c>
      <c r="O688" t="s">
        <v>2532</v>
      </c>
    </row>
    <row r="689" spans="1:15">
      <c r="A689" t="s">
        <v>1089</v>
      </c>
      <c r="B689" t="s">
        <v>39</v>
      </c>
      <c r="C689">
        <v>5</v>
      </c>
      <c r="D689">
        <v>81.7</v>
      </c>
      <c r="E689">
        <v>408.5</v>
      </c>
      <c r="F689" s="12">
        <v>45697</v>
      </c>
      <c r="G689" s="12">
        <v>45698</v>
      </c>
      <c r="H689" t="s">
        <v>27</v>
      </c>
      <c r="I689" t="s">
        <v>35</v>
      </c>
      <c r="J689">
        <v>5</v>
      </c>
      <c r="K689" t="s">
        <v>19</v>
      </c>
      <c r="L689" t="s">
        <v>33</v>
      </c>
      <c r="M689">
        <v>1</v>
      </c>
      <c r="N689">
        <v>7</v>
      </c>
      <c r="O689" t="s">
        <v>2530</v>
      </c>
    </row>
    <row r="690" spans="1:15">
      <c r="A690" t="s">
        <v>1088</v>
      </c>
      <c r="B690" t="s">
        <v>39</v>
      </c>
      <c r="C690">
        <v>2</v>
      </c>
      <c r="D690">
        <v>50.6</v>
      </c>
      <c r="E690">
        <v>101.2</v>
      </c>
      <c r="F690" s="12">
        <v>45697</v>
      </c>
      <c r="G690" s="12">
        <v>45703</v>
      </c>
      <c r="H690" t="s">
        <v>17</v>
      </c>
      <c r="I690" t="s">
        <v>18</v>
      </c>
      <c r="J690">
        <v>4</v>
      </c>
      <c r="K690" t="s">
        <v>19</v>
      </c>
      <c r="L690" t="s">
        <v>33</v>
      </c>
      <c r="M690">
        <v>6</v>
      </c>
      <c r="N690">
        <v>7</v>
      </c>
      <c r="O690" t="s">
        <v>2533</v>
      </c>
    </row>
    <row r="691" spans="1:15">
      <c r="A691" t="s">
        <v>1059</v>
      </c>
      <c r="B691" t="s">
        <v>44</v>
      </c>
      <c r="C691">
        <v>1</v>
      </c>
      <c r="D691">
        <v>18.100000000000001</v>
      </c>
      <c r="E691">
        <v>18.100000000000001</v>
      </c>
      <c r="F691" s="12">
        <v>45696</v>
      </c>
      <c r="G691" s="12">
        <v>45700</v>
      </c>
      <c r="H691" t="s">
        <v>23</v>
      </c>
      <c r="I691" t="s">
        <v>51</v>
      </c>
      <c r="J691">
        <v>5</v>
      </c>
      <c r="K691" t="s">
        <v>19</v>
      </c>
      <c r="L691" t="s">
        <v>33</v>
      </c>
      <c r="M691">
        <v>4</v>
      </c>
      <c r="N691">
        <v>6</v>
      </c>
      <c r="O691" t="s">
        <v>2531</v>
      </c>
    </row>
    <row r="692" spans="1:15">
      <c r="A692" t="s">
        <v>1058</v>
      </c>
      <c r="B692" t="s">
        <v>44</v>
      </c>
      <c r="C692">
        <v>7</v>
      </c>
      <c r="D692">
        <v>22.1</v>
      </c>
      <c r="E692">
        <v>154.70000000000002</v>
      </c>
      <c r="F692" s="12">
        <v>45696</v>
      </c>
      <c r="G692" s="12">
        <v>45696</v>
      </c>
      <c r="H692" t="s">
        <v>27</v>
      </c>
      <c r="I692" t="s">
        <v>40</v>
      </c>
      <c r="J692">
        <v>2</v>
      </c>
      <c r="K692" t="s">
        <v>19</v>
      </c>
      <c r="L692" t="s">
        <v>33</v>
      </c>
      <c r="M692">
        <v>0</v>
      </c>
      <c r="N692">
        <v>6</v>
      </c>
      <c r="O692" t="s">
        <v>2530</v>
      </c>
    </row>
    <row r="693" spans="1:15">
      <c r="A693" t="s">
        <v>1057</v>
      </c>
      <c r="B693" t="s">
        <v>44</v>
      </c>
      <c r="C693">
        <v>1</v>
      </c>
      <c r="D693">
        <v>24.7</v>
      </c>
      <c r="E693">
        <v>24.7</v>
      </c>
      <c r="F693" s="12">
        <v>45696</v>
      </c>
      <c r="G693" s="12">
        <v>45698</v>
      </c>
      <c r="H693" t="s">
        <v>27</v>
      </c>
      <c r="I693" t="s">
        <v>40</v>
      </c>
      <c r="J693">
        <v>3</v>
      </c>
      <c r="K693" t="s">
        <v>19</v>
      </c>
      <c r="L693" t="s">
        <v>33</v>
      </c>
      <c r="M693">
        <v>2</v>
      </c>
      <c r="N693">
        <v>6</v>
      </c>
      <c r="O693" t="s">
        <v>2530</v>
      </c>
    </row>
    <row r="694" spans="1:15">
      <c r="A694" t="s">
        <v>1056</v>
      </c>
      <c r="B694" t="s">
        <v>54</v>
      </c>
      <c r="C694">
        <v>27</v>
      </c>
      <c r="D694">
        <v>40.799999999999997</v>
      </c>
      <c r="E694">
        <v>1101.5999999999999</v>
      </c>
      <c r="F694" s="12">
        <v>45696</v>
      </c>
      <c r="G694" s="12">
        <v>45697</v>
      </c>
      <c r="H694" t="s">
        <v>27</v>
      </c>
      <c r="I694" t="s">
        <v>51</v>
      </c>
      <c r="J694">
        <v>5</v>
      </c>
      <c r="K694" t="s">
        <v>19</v>
      </c>
      <c r="L694" t="s">
        <v>33</v>
      </c>
      <c r="M694">
        <v>1</v>
      </c>
      <c r="N694">
        <v>6</v>
      </c>
      <c r="O694" t="s">
        <v>2530</v>
      </c>
    </row>
    <row r="695" spans="1:15">
      <c r="A695" t="s">
        <v>1055</v>
      </c>
      <c r="B695" t="s">
        <v>81</v>
      </c>
      <c r="C695">
        <v>4</v>
      </c>
      <c r="D695">
        <v>11.8</v>
      </c>
      <c r="E695">
        <v>47.2</v>
      </c>
      <c r="F695" s="12">
        <v>45696</v>
      </c>
      <c r="G695" s="12">
        <v>45696</v>
      </c>
      <c r="H695" t="s">
        <v>23</v>
      </c>
      <c r="I695" t="s">
        <v>40</v>
      </c>
      <c r="J695">
        <v>4</v>
      </c>
      <c r="K695" t="s">
        <v>19</v>
      </c>
      <c r="L695" t="s">
        <v>33</v>
      </c>
      <c r="M695">
        <v>0</v>
      </c>
      <c r="N695">
        <v>6</v>
      </c>
      <c r="O695" t="s">
        <v>2531</v>
      </c>
    </row>
    <row r="696" spans="1:15">
      <c r="A696" t="s">
        <v>1054</v>
      </c>
      <c r="B696" t="s">
        <v>135</v>
      </c>
      <c r="C696">
        <v>2</v>
      </c>
      <c r="D696">
        <v>51.2</v>
      </c>
      <c r="E696">
        <v>102.4</v>
      </c>
      <c r="F696" s="12">
        <v>45696</v>
      </c>
      <c r="G696" s="12">
        <v>45697</v>
      </c>
      <c r="H696" t="s">
        <v>23</v>
      </c>
      <c r="I696" t="s">
        <v>35</v>
      </c>
      <c r="J696">
        <v>4</v>
      </c>
      <c r="K696" t="s">
        <v>19</v>
      </c>
      <c r="L696" t="s">
        <v>33</v>
      </c>
      <c r="M696">
        <v>1</v>
      </c>
      <c r="N696">
        <v>6</v>
      </c>
      <c r="O696" t="s">
        <v>2531</v>
      </c>
    </row>
    <row r="697" spans="1:15">
      <c r="A697" t="s">
        <v>1053</v>
      </c>
      <c r="B697" t="s">
        <v>22</v>
      </c>
      <c r="C697">
        <v>1</v>
      </c>
      <c r="D697">
        <v>74.400000000000006</v>
      </c>
      <c r="E697">
        <v>74.400000000000006</v>
      </c>
      <c r="F697" s="12">
        <v>45696</v>
      </c>
      <c r="G697" s="12">
        <v>45698</v>
      </c>
      <c r="H697" t="s">
        <v>23</v>
      </c>
      <c r="I697" t="s">
        <v>70</v>
      </c>
      <c r="J697">
        <v>5</v>
      </c>
      <c r="K697" t="s">
        <v>19</v>
      </c>
      <c r="L697" t="s">
        <v>33</v>
      </c>
      <c r="M697">
        <v>2</v>
      </c>
      <c r="N697">
        <v>6</v>
      </c>
      <c r="O697" t="s">
        <v>2531</v>
      </c>
    </row>
    <row r="698" spans="1:15">
      <c r="A698" t="s">
        <v>1052</v>
      </c>
      <c r="B698" t="s">
        <v>32</v>
      </c>
      <c r="C698">
        <v>4</v>
      </c>
      <c r="D698">
        <v>46.2</v>
      </c>
      <c r="E698">
        <v>184.8</v>
      </c>
      <c r="F698" s="12">
        <v>45696</v>
      </c>
      <c r="G698" s="12">
        <v>45697</v>
      </c>
      <c r="H698" t="s">
        <v>23</v>
      </c>
      <c r="I698" t="s">
        <v>40</v>
      </c>
      <c r="J698">
        <v>4</v>
      </c>
      <c r="K698" t="s">
        <v>19</v>
      </c>
      <c r="L698" t="s">
        <v>33</v>
      </c>
      <c r="M698">
        <v>1</v>
      </c>
      <c r="N698">
        <v>6</v>
      </c>
      <c r="O698" t="s">
        <v>2531</v>
      </c>
    </row>
    <row r="699" spans="1:15">
      <c r="A699" t="s">
        <v>791</v>
      </c>
      <c r="B699" t="s">
        <v>46</v>
      </c>
      <c r="C699">
        <v>2</v>
      </c>
      <c r="D699">
        <v>63.2</v>
      </c>
      <c r="E699">
        <v>126.4</v>
      </c>
      <c r="F699" s="12">
        <v>45687</v>
      </c>
      <c r="G699" s="12">
        <v>45688</v>
      </c>
      <c r="H699" t="s">
        <v>23</v>
      </c>
      <c r="I699" t="s">
        <v>35</v>
      </c>
      <c r="J699">
        <v>4</v>
      </c>
      <c r="K699" t="s">
        <v>19</v>
      </c>
      <c r="L699" t="s">
        <v>33</v>
      </c>
      <c r="M699">
        <v>1</v>
      </c>
      <c r="N699">
        <v>5</v>
      </c>
      <c r="O699" t="s">
        <v>2531</v>
      </c>
    </row>
    <row r="700" spans="1:15">
      <c r="A700" t="s">
        <v>792</v>
      </c>
      <c r="B700" t="s">
        <v>42</v>
      </c>
      <c r="C700">
        <v>4</v>
      </c>
      <c r="D700">
        <v>64.8</v>
      </c>
      <c r="E700">
        <v>259.2</v>
      </c>
      <c r="F700" s="12">
        <v>45687</v>
      </c>
      <c r="G700" s="12">
        <v>45689</v>
      </c>
      <c r="H700" t="s">
        <v>17</v>
      </c>
      <c r="I700" t="s">
        <v>70</v>
      </c>
      <c r="J700">
        <v>3</v>
      </c>
      <c r="K700" t="s">
        <v>19</v>
      </c>
      <c r="L700" t="s">
        <v>33</v>
      </c>
      <c r="M700">
        <v>2</v>
      </c>
      <c r="N700">
        <v>5</v>
      </c>
      <c r="O700" t="s">
        <v>2533</v>
      </c>
    </row>
    <row r="701" spans="1:15">
      <c r="A701" t="s">
        <v>793</v>
      </c>
      <c r="B701" t="s">
        <v>42</v>
      </c>
      <c r="C701">
        <v>3</v>
      </c>
      <c r="D701">
        <v>79.8</v>
      </c>
      <c r="E701">
        <v>239.39999999999998</v>
      </c>
      <c r="F701" s="12">
        <v>45687</v>
      </c>
      <c r="G701" s="12">
        <v>45688</v>
      </c>
      <c r="H701" t="s">
        <v>23</v>
      </c>
      <c r="I701" t="s">
        <v>18</v>
      </c>
      <c r="J701">
        <v>4</v>
      </c>
      <c r="K701" t="s">
        <v>19</v>
      </c>
      <c r="L701" t="s">
        <v>33</v>
      </c>
      <c r="M701">
        <v>1</v>
      </c>
      <c r="N701">
        <v>5</v>
      </c>
      <c r="O701" t="s">
        <v>2531</v>
      </c>
    </row>
    <row r="702" spans="1:15">
      <c r="A702" t="s">
        <v>794</v>
      </c>
      <c r="B702" t="s">
        <v>46</v>
      </c>
      <c r="C702">
        <v>1</v>
      </c>
      <c r="D702">
        <v>54.4</v>
      </c>
      <c r="E702">
        <v>54.4</v>
      </c>
      <c r="F702" s="12">
        <v>45687</v>
      </c>
      <c r="G702" s="12">
        <v>45689</v>
      </c>
      <c r="H702" t="s">
        <v>27</v>
      </c>
      <c r="I702" t="s">
        <v>70</v>
      </c>
      <c r="J702">
        <v>5</v>
      </c>
      <c r="K702" t="s">
        <v>19</v>
      </c>
      <c r="L702" t="s">
        <v>33</v>
      </c>
      <c r="M702">
        <v>2</v>
      </c>
      <c r="N702">
        <v>5</v>
      </c>
      <c r="O702" t="s">
        <v>2530</v>
      </c>
    </row>
    <row r="703" spans="1:15">
      <c r="A703" t="s">
        <v>795</v>
      </c>
      <c r="B703" t="s">
        <v>39</v>
      </c>
      <c r="C703">
        <v>1</v>
      </c>
      <c r="D703">
        <v>87.3</v>
      </c>
      <c r="E703">
        <v>87.3</v>
      </c>
      <c r="F703" s="12">
        <v>45687</v>
      </c>
      <c r="G703" s="12">
        <v>45688</v>
      </c>
      <c r="H703" t="s">
        <v>23</v>
      </c>
      <c r="I703" t="s">
        <v>35</v>
      </c>
      <c r="J703">
        <v>4</v>
      </c>
      <c r="K703" t="s">
        <v>19</v>
      </c>
      <c r="L703" t="s">
        <v>33</v>
      </c>
      <c r="M703">
        <v>1</v>
      </c>
      <c r="N703">
        <v>5</v>
      </c>
      <c r="O703" t="s">
        <v>2531</v>
      </c>
    </row>
    <row r="704" spans="1:15">
      <c r="A704" t="s">
        <v>796</v>
      </c>
      <c r="B704" t="s">
        <v>44</v>
      </c>
      <c r="C704">
        <v>4</v>
      </c>
      <c r="D704">
        <v>32.4</v>
      </c>
      <c r="E704">
        <v>129.6</v>
      </c>
      <c r="F704" s="12">
        <v>45687</v>
      </c>
      <c r="G704" s="12">
        <v>45687</v>
      </c>
      <c r="H704" t="s">
        <v>23</v>
      </c>
      <c r="I704" t="s">
        <v>35</v>
      </c>
      <c r="J704">
        <v>4</v>
      </c>
      <c r="K704" t="s">
        <v>19</v>
      </c>
      <c r="L704" t="s">
        <v>33</v>
      </c>
      <c r="M704">
        <v>0</v>
      </c>
      <c r="N704">
        <v>5</v>
      </c>
      <c r="O704" t="s">
        <v>2531</v>
      </c>
    </row>
    <row r="705" spans="1:15">
      <c r="A705" t="s">
        <v>797</v>
      </c>
      <c r="B705" t="s">
        <v>26</v>
      </c>
      <c r="C705">
        <v>1</v>
      </c>
      <c r="D705">
        <v>177.4</v>
      </c>
      <c r="E705">
        <v>177.4</v>
      </c>
      <c r="F705" s="12">
        <v>45687</v>
      </c>
      <c r="G705" s="12">
        <v>45691</v>
      </c>
      <c r="H705" t="s">
        <v>23</v>
      </c>
      <c r="I705" t="s">
        <v>18</v>
      </c>
      <c r="J705">
        <v>5</v>
      </c>
      <c r="K705" t="s">
        <v>19</v>
      </c>
      <c r="L705" t="s">
        <v>33</v>
      </c>
      <c r="M705">
        <v>4</v>
      </c>
      <c r="N705">
        <v>5</v>
      </c>
      <c r="O705" t="s">
        <v>2531</v>
      </c>
    </row>
    <row r="706" spans="1:15">
      <c r="A706" t="s">
        <v>798</v>
      </c>
      <c r="B706" t="s">
        <v>42</v>
      </c>
      <c r="C706">
        <v>2</v>
      </c>
      <c r="D706">
        <v>70.099999999999994</v>
      </c>
      <c r="E706">
        <v>140.19999999999999</v>
      </c>
      <c r="F706" s="12">
        <v>45687</v>
      </c>
      <c r="G706" s="12">
        <v>45688</v>
      </c>
      <c r="H706" t="s">
        <v>23</v>
      </c>
      <c r="I706" t="s">
        <v>51</v>
      </c>
      <c r="J706">
        <v>3</v>
      </c>
      <c r="K706" t="s">
        <v>19</v>
      </c>
      <c r="L706" t="s">
        <v>33</v>
      </c>
      <c r="M706">
        <v>1</v>
      </c>
      <c r="N706">
        <v>5</v>
      </c>
      <c r="O706" t="s">
        <v>2531</v>
      </c>
    </row>
    <row r="707" spans="1:15">
      <c r="A707" t="s">
        <v>799</v>
      </c>
      <c r="B707" t="s">
        <v>46</v>
      </c>
      <c r="C707">
        <v>6</v>
      </c>
      <c r="D707">
        <v>51.1</v>
      </c>
      <c r="E707">
        <v>306.60000000000002</v>
      </c>
      <c r="F707" s="12">
        <v>45687</v>
      </c>
      <c r="G707" s="12">
        <v>45688</v>
      </c>
      <c r="H707" t="s">
        <v>27</v>
      </c>
      <c r="I707" t="s">
        <v>18</v>
      </c>
      <c r="J707">
        <v>4</v>
      </c>
      <c r="K707" t="s">
        <v>19</v>
      </c>
      <c r="L707" t="s">
        <v>33</v>
      </c>
      <c r="M707">
        <v>1</v>
      </c>
      <c r="N707">
        <v>5</v>
      </c>
      <c r="O707" t="s">
        <v>2530</v>
      </c>
    </row>
    <row r="708" spans="1:15">
      <c r="A708" t="s">
        <v>1051</v>
      </c>
      <c r="B708" t="s">
        <v>39</v>
      </c>
      <c r="C708">
        <v>4</v>
      </c>
      <c r="D708">
        <v>43.1</v>
      </c>
      <c r="E708">
        <v>172.4</v>
      </c>
      <c r="F708" s="12">
        <v>45696</v>
      </c>
      <c r="G708" s="12">
        <v>45699</v>
      </c>
      <c r="H708" t="s">
        <v>23</v>
      </c>
      <c r="I708" t="s">
        <v>18</v>
      </c>
      <c r="J708">
        <v>4</v>
      </c>
      <c r="K708" t="s">
        <v>19</v>
      </c>
      <c r="L708" t="s">
        <v>33</v>
      </c>
      <c r="M708">
        <v>3</v>
      </c>
      <c r="N708">
        <v>6</v>
      </c>
      <c r="O708" t="s">
        <v>2531</v>
      </c>
    </row>
    <row r="709" spans="1:15">
      <c r="A709" t="s">
        <v>1050</v>
      </c>
      <c r="B709" t="s">
        <v>146</v>
      </c>
      <c r="C709">
        <v>1</v>
      </c>
      <c r="D709">
        <v>85.3</v>
      </c>
      <c r="E709">
        <v>85.3</v>
      </c>
      <c r="F709" s="12">
        <v>45695</v>
      </c>
      <c r="G709" s="12">
        <v>45699</v>
      </c>
      <c r="H709" t="s">
        <v>23</v>
      </c>
      <c r="I709" t="s">
        <v>35</v>
      </c>
      <c r="J709">
        <v>3</v>
      </c>
      <c r="K709" t="s">
        <v>19</v>
      </c>
      <c r="L709" t="s">
        <v>33</v>
      </c>
      <c r="M709">
        <v>4</v>
      </c>
      <c r="N709">
        <v>6</v>
      </c>
      <c r="O709" t="s">
        <v>2531</v>
      </c>
    </row>
    <row r="710" spans="1:15">
      <c r="A710" t="s">
        <v>1049</v>
      </c>
      <c r="B710" t="s">
        <v>46</v>
      </c>
      <c r="C710">
        <v>3</v>
      </c>
      <c r="D710">
        <v>49.1</v>
      </c>
      <c r="E710">
        <v>147.30000000000001</v>
      </c>
      <c r="F710" s="12">
        <v>45695</v>
      </c>
      <c r="G710" s="12">
        <v>45699</v>
      </c>
      <c r="H710" t="s">
        <v>27</v>
      </c>
      <c r="I710" t="s">
        <v>51</v>
      </c>
      <c r="J710">
        <v>3</v>
      </c>
      <c r="K710" t="s">
        <v>19</v>
      </c>
      <c r="L710" t="s">
        <v>33</v>
      </c>
      <c r="M710">
        <v>4</v>
      </c>
      <c r="N710">
        <v>6</v>
      </c>
      <c r="O710" t="s">
        <v>2530</v>
      </c>
    </row>
    <row r="711" spans="1:15">
      <c r="A711" t="s">
        <v>1048</v>
      </c>
      <c r="B711" t="s">
        <v>44</v>
      </c>
      <c r="C711">
        <v>2</v>
      </c>
      <c r="D711">
        <v>40.9</v>
      </c>
      <c r="E711">
        <v>81.8</v>
      </c>
      <c r="F711" s="12">
        <v>45695</v>
      </c>
      <c r="G711" s="12">
        <v>45699</v>
      </c>
      <c r="H711" t="s">
        <v>23</v>
      </c>
      <c r="I711" t="s">
        <v>18</v>
      </c>
      <c r="J711">
        <v>4</v>
      </c>
      <c r="K711" t="s">
        <v>19</v>
      </c>
      <c r="L711" t="s">
        <v>33</v>
      </c>
      <c r="M711">
        <v>4</v>
      </c>
      <c r="N711">
        <v>6</v>
      </c>
      <c r="O711" t="s">
        <v>2531</v>
      </c>
    </row>
    <row r="712" spans="1:15">
      <c r="A712" t="s">
        <v>1028</v>
      </c>
      <c r="B712" t="s">
        <v>54</v>
      </c>
      <c r="C712">
        <v>7</v>
      </c>
      <c r="D712">
        <v>26.3</v>
      </c>
      <c r="E712">
        <v>184.1</v>
      </c>
      <c r="F712" s="12">
        <v>45694</v>
      </c>
      <c r="G712" s="12">
        <v>45694</v>
      </c>
      <c r="H712" t="s">
        <v>27</v>
      </c>
      <c r="I712" t="s">
        <v>40</v>
      </c>
      <c r="J712">
        <v>3</v>
      </c>
      <c r="K712" t="s">
        <v>19</v>
      </c>
      <c r="L712" t="s">
        <v>33</v>
      </c>
      <c r="M712">
        <v>0</v>
      </c>
      <c r="N712">
        <v>6</v>
      </c>
      <c r="O712" t="s">
        <v>2530</v>
      </c>
    </row>
    <row r="713" spans="1:15">
      <c r="A713" t="s">
        <v>1027</v>
      </c>
      <c r="B713" t="s">
        <v>135</v>
      </c>
      <c r="C713">
        <v>5</v>
      </c>
      <c r="D713">
        <v>21.6</v>
      </c>
      <c r="E713">
        <v>108</v>
      </c>
      <c r="F713" s="12">
        <v>45694</v>
      </c>
      <c r="G713" s="12">
        <v>45702</v>
      </c>
      <c r="H713" t="s">
        <v>27</v>
      </c>
      <c r="I713" t="s">
        <v>18</v>
      </c>
      <c r="J713">
        <v>3</v>
      </c>
      <c r="K713" t="s">
        <v>19</v>
      </c>
      <c r="L713" t="s">
        <v>33</v>
      </c>
      <c r="M713">
        <v>8</v>
      </c>
      <c r="N713">
        <v>6</v>
      </c>
      <c r="O713" t="s">
        <v>2530</v>
      </c>
    </row>
    <row r="714" spans="1:15">
      <c r="A714" t="s">
        <v>1026</v>
      </c>
      <c r="B714" t="s">
        <v>32</v>
      </c>
      <c r="C714">
        <v>5</v>
      </c>
      <c r="D714">
        <v>22.5</v>
      </c>
      <c r="E714">
        <v>112.5</v>
      </c>
      <c r="F714" s="12">
        <v>45694</v>
      </c>
      <c r="G714" s="12">
        <v>45696</v>
      </c>
      <c r="H714" t="s">
        <v>27</v>
      </c>
      <c r="I714" t="s">
        <v>70</v>
      </c>
      <c r="J714">
        <v>5</v>
      </c>
      <c r="K714" t="s">
        <v>19</v>
      </c>
      <c r="L714" t="s">
        <v>33</v>
      </c>
      <c r="M714">
        <v>2</v>
      </c>
      <c r="N714">
        <v>6</v>
      </c>
      <c r="O714" t="s">
        <v>2530</v>
      </c>
    </row>
    <row r="715" spans="1:15">
      <c r="A715" t="s">
        <v>1025</v>
      </c>
      <c r="B715" t="s">
        <v>16</v>
      </c>
      <c r="C715">
        <v>4</v>
      </c>
      <c r="D715">
        <v>27.7</v>
      </c>
      <c r="E715">
        <v>110.8</v>
      </c>
      <c r="F715" s="12">
        <v>45694</v>
      </c>
      <c r="G715" s="12">
        <v>45696</v>
      </c>
      <c r="H715" t="s">
        <v>27</v>
      </c>
      <c r="I715" t="s">
        <v>18</v>
      </c>
      <c r="J715">
        <v>4</v>
      </c>
      <c r="K715" t="s">
        <v>19</v>
      </c>
      <c r="L715" t="s">
        <v>33</v>
      </c>
      <c r="M715">
        <v>2</v>
      </c>
      <c r="N715">
        <v>6</v>
      </c>
      <c r="O715" t="s">
        <v>2530</v>
      </c>
    </row>
    <row r="716" spans="1:15">
      <c r="A716" t="s">
        <v>1024</v>
      </c>
      <c r="B716" t="s">
        <v>32</v>
      </c>
      <c r="C716">
        <v>5</v>
      </c>
      <c r="D716">
        <v>48.3</v>
      </c>
      <c r="E716">
        <v>241.5</v>
      </c>
      <c r="F716" s="12">
        <v>45694</v>
      </c>
      <c r="G716" s="12">
        <v>45696</v>
      </c>
      <c r="H716" t="s">
        <v>27</v>
      </c>
      <c r="I716" t="s">
        <v>35</v>
      </c>
      <c r="J716">
        <v>4</v>
      </c>
      <c r="K716" t="s">
        <v>19</v>
      </c>
      <c r="L716" t="s">
        <v>33</v>
      </c>
      <c r="M716">
        <v>2</v>
      </c>
      <c r="N716">
        <v>6</v>
      </c>
      <c r="O716" t="s">
        <v>2530</v>
      </c>
    </row>
    <row r="717" spans="1:15">
      <c r="A717" t="s">
        <v>1023</v>
      </c>
      <c r="B717" t="s">
        <v>44</v>
      </c>
      <c r="C717">
        <v>2</v>
      </c>
      <c r="D717">
        <v>18.600000000000001</v>
      </c>
      <c r="E717">
        <v>37.200000000000003</v>
      </c>
      <c r="F717" s="12">
        <v>45694</v>
      </c>
      <c r="G717" s="12">
        <v>45696</v>
      </c>
      <c r="H717" t="s">
        <v>17</v>
      </c>
      <c r="I717" t="s">
        <v>18</v>
      </c>
      <c r="J717">
        <v>3</v>
      </c>
      <c r="K717" t="s">
        <v>19</v>
      </c>
      <c r="L717" t="s">
        <v>33</v>
      </c>
      <c r="M717">
        <v>2</v>
      </c>
      <c r="N717">
        <v>6</v>
      </c>
      <c r="O717" t="s">
        <v>2533</v>
      </c>
    </row>
    <row r="718" spans="1:15">
      <c r="A718" t="s">
        <v>1022</v>
      </c>
      <c r="B718" t="s">
        <v>16</v>
      </c>
      <c r="C718">
        <v>2</v>
      </c>
      <c r="D718">
        <v>20.399999999999999</v>
      </c>
      <c r="E718">
        <v>40.799999999999997</v>
      </c>
      <c r="F718" s="12">
        <v>45694</v>
      </c>
      <c r="G718" s="12">
        <v>45698</v>
      </c>
      <c r="H718" t="s">
        <v>23</v>
      </c>
      <c r="I718" t="s">
        <v>51</v>
      </c>
      <c r="J718">
        <v>5</v>
      </c>
      <c r="K718" t="s">
        <v>19</v>
      </c>
      <c r="L718" t="s">
        <v>33</v>
      </c>
      <c r="M718">
        <v>4</v>
      </c>
      <c r="N718">
        <v>6</v>
      </c>
      <c r="O718" t="s">
        <v>2531</v>
      </c>
    </row>
    <row r="719" spans="1:15">
      <c r="A719" t="s">
        <v>1021</v>
      </c>
      <c r="B719" t="s">
        <v>135</v>
      </c>
      <c r="C719">
        <v>3</v>
      </c>
      <c r="D719">
        <v>31.9</v>
      </c>
      <c r="E719">
        <v>95.699999999999989</v>
      </c>
      <c r="F719" s="12">
        <v>45694</v>
      </c>
      <c r="G719" s="12">
        <v>45696</v>
      </c>
      <c r="H719" t="s">
        <v>27</v>
      </c>
      <c r="I719" t="s">
        <v>40</v>
      </c>
      <c r="J719">
        <v>5</v>
      </c>
      <c r="K719" t="s">
        <v>19</v>
      </c>
      <c r="L719" t="s">
        <v>33</v>
      </c>
      <c r="M719">
        <v>2</v>
      </c>
      <c r="N719">
        <v>6</v>
      </c>
      <c r="O719" t="s">
        <v>2530</v>
      </c>
    </row>
    <row r="720" spans="1:15">
      <c r="A720" t="s">
        <v>1020</v>
      </c>
      <c r="B720" t="s">
        <v>46</v>
      </c>
      <c r="C720">
        <v>3</v>
      </c>
      <c r="D720">
        <v>70.900000000000006</v>
      </c>
      <c r="E720">
        <v>212.70000000000002</v>
      </c>
      <c r="F720" s="12">
        <v>45694</v>
      </c>
      <c r="G720" s="12">
        <v>45699</v>
      </c>
      <c r="H720" t="s">
        <v>27</v>
      </c>
      <c r="I720" t="s">
        <v>40</v>
      </c>
      <c r="J720">
        <v>5</v>
      </c>
      <c r="K720" t="s">
        <v>19</v>
      </c>
      <c r="L720" t="s">
        <v>33</v>
      </c>
      <c r="M720">
        <v>5</v>
      </c>
      <c r="N720">
        <v>6</v>
      </c>
      <c r="O720" t="s">
        <v>2530</v>
      </c>
    </row>
    <row r="721" spans="1:15">
      <c r="A721" t="s">
        <v>1019</v>
      </c>
      <c r="B721" t="s">
        <v>44</v>
      </c>
      <c r="C721">
        <v>3</v>
      </c>
      <c r="D721">
        <v>24.6</v>
      </c>
      <c r="E721">
        <v>73.800000000000011</v>
      </c>
      <c r="F721" s="12">
        <v>45694</v>
      </c>
      <c r="G721" s="12">
        <v>45696</v>
      </c>
      <c r="H721" t="s">
        <v>89</v>
      </c>
      <c r="I721" t="s">
        <v>35</v>
      </c>
      <c r="J721">
        <v>5</v>
      </c>
      <c r="K721" t="s">
        <v>19</v>
      </c>
      <c r="L721" t="s">
        <v>33</v>
      </c>
      <c r="M721">
        <v>2</v>
      </c>
      <c r="N721">
        <v>6</v>
      </c>
      <c r="O721" t="s">
        <v>2532</v>
      </c>
    </row>
    <row r="722" spans="1:15">
      <c r="A722" t="s">
        <v>1018</v>
      </c>
      <c r="B722" t="s">
        <v>46</v>
      </c>
      <c r="C722">
        <v>2</v>
      </c>
      <c r="D722">
        <v>53.8</v>
      </c>
      <c r="E722">
        <v>107.6</v>
      </c>
      <c r="F722" s="12">
        <v>45694</v>
      </c>
      <c r="G722" s="12">
        <v>45695</v>
      </c>
      <c r="H722" t="s">
        <v>17</v>
      </c>
      <c r="I722" t="s">
        <v>18</v>
      </c>
      <c r="J722">
        <v>3</v>
      </c>
      <c r="K722" t="s">
        <v>19</v>
      </c>
      <c r="L722" t="s">
        <v>33</v>
      </c>
      <c r="M722">
        <v>1</v>
      </c>
      <c r="N722">
        <v>6</v>
      </c>
      <c r="O722" t="s">
        <v>2533</v>
      </c>
    </row>
    <row r="723" spans="1:15">
      <c r="A723" t="s">
        <v>1017</v>
      </c>
      <c r="B723" t="s">
        <v>146</v>
      </c>
      <c r="C723">
        <v>3</v>
      </c>
      <c r="D723">
        <v>47.4</v>
      </c>
      <c r="E723">
        <v>142.19999999999999</v>
      </c>
      <c r="F723" s="12">
        <v>45694</v>
      </c>
      <c r="G723" s="12">
        <v>45697</v>
      </c>
      <c r="H723" t="s">
        <v>27</v>
      </c>
      <c r="I723" t="s">
        <v>18</v>
      </c>
      <c r="J723">
        <v>4</v>
      </c>
      <c r="K723" t="s">
        <v>19</v>
      </c>
      <c r="L723" t="s">
        <v>33</v>
      </c>
      <c r="M723">
        <v>3</v>
      </c>
      <c r="N723">
        <v>6</v>
      </c>
      <c r="O723" t="s">
        <v>2530</v>
      </c>
    </row>
    <row r="724" spans="1:15">
      <c r="A724" t="s">
        <v>1007</v>
      </c>
      <c r="B724" t="s">
        <v>44</v>
      </c>
      <c r="C724">
        <v>1</v>
      </c>
      <c r="D724">
        <v>36.799999999999997</v>
      </c>
      <c r="E724">
        <v>36.799999999999997</v>
      </c>
      <c r="F724" s="12">
        <v>45694</v>
      </c>
      <c r="G724" s="12">
        <v>45694</v>
      </c>
      <c r="H724" t="s">
        <v>17</v>
      </c>
      <c r="I724" t="s">
        <v>18</v>
      </c>
      <c r="J724">
        <v>5</v>
      </c>
      <c r="K724" t="s">
        <v>19</v>
      </c>
      <c r="L724" t="s">
        <v>33</v>
      </c>
      <c r="M724">
        <v>0</v>
      </c>
      <c r="N724">
        <v>6</v>
      </c>
      <c r="O724" t="s">
        <v>2533</v>
      </c>
    </row>
    <row r="725" spans="1:15">
      <c r="A725" t="s">
        <v>1006</v>
      </c>
      <c r="B725" t="s">
        <v>69</v>
      </c>
      <c r="C725">
        <v>7</v>
      </c>
      <c r="D725">
        <v>52.7</v>
      </c>
      <c r="E725">
        <v>368.90000000000003</v>
      </c>
      <c r="F725" s="12">
        <v>45694</v>
      </c>
      <c r="G725" s="12">
        <v>45695</v>
      </c>
      <c r="H725" t="s">
        <v>23</v>
      </c>
      <c r="I725" t="s">
        <v>35</v>
      </c>
      <c r="J725">
        <v>3</v>
      </c>
      <c r="K725" t="s">
        <v>19</v>
      </c>
      <c r="L725" t="s">
        <v>33</v>
      </c>
      <c r="M725">
        <v>1</v>
      </c>
      <c r="N725">
        <v>6</v>
      </c>
      <c r="O725" t="s">
        <v>2531</v>
      </c>
    </row>
    <row r="726" spans="1:15">
      <c r="A726" t="s">
        <v>1005</v>
      </c>
      <c r="B726" t="s">
        <v>44</v>
      </c>
      <c r="C726">
        <v>3</v>
      </c>
      <c r="D726">
        <v>17.899999999999999</v>
      </c>
      <c r="E726">
        <v>53.699999999999996</v>
      </c>
      <c r="F726" s="12">
        <v>45694</v>
      </c>
      <c r="G726" s="12">
        <v>45696</v>
      </c>
      <c r="H726" t="s">
        <v>23</v>
      </c>
      <c r="I726" t="s">
        <v>35</v>
      </c>
      <c r="J726">
        <v>3</v>
      </c>
      <c r="K726" t="s">
        <v>19</v>
      </c>
      <c r="L726" t="s">
        <v>33</v>
      </c>
      <c r="M726">
        <v>2</v>
      </c>
      <c r="N726">
        <v>6</v>
      </c>
      <c r="O726" t="s">
        <v>2531</v>
      </c>
    </row>
    <row r="727" spans="1:15">
      <c r="A727" t="s">
        <v>1004</v>
      </c>
      <c r="B727" t="s">
        <v>46</v>
      </c>
      <c r="C727">
        <v>3</v>
      </c>
      <c r="D727">
        <v>94.1</v>
      </c>
      <c r="E727">
        <v>282.29999999999995</v>
      </c>
      <c r="F727" s="12">
        <v>45694</v>
      </c>
      <c r="G727" s="12">
        <v>45707</v>
      </c>
      <c r="H727" t="s">
        <v>27</v>
      </c>
      <c r="I727" t="s">
        <v>40</v>
      </c>
      <c r="J727">
        <v>5</v>
      </c>
      <c r="K727" t="s">
        <v>19</v>
      </c>
      <c r="L727" t="s">
        <v>33</v>
      </c>
      <c r="M727">
        <v>13</v>
      </c>
      <c r="N727">
        <v>6</v>
      </c>
      <c r="O727" t="s">
        <v>2530</v>
      </c>
    </row>
    <row r="728" spans="1:15">
      <c r="A728" t="s">
        <v>1003</v>
      </c>
      <c r="B728" t="s">
        <v>46</v>
      </c>
      <c r="C728">
        <v>2</v>
      </c>
      <c r="D728">
        <v>44.2</v>
      </c>
      <c r="E728">
        <v>88.4</v>
      </c>
      <c r="F728" s="12">
        <v>45694</v>
      </c>
      <c r="G728" s="12">
        <v>45698</v>
      </c>
      <c r="H728" t="s">
        <v>17</v>
      </c>
      <c r="I728" t="s">
        <v>40</v>
      </c>
      <c r="J728">
        <v>2</v>
      </c>
      <c r="K728" t="s">
        <v>19</v>
      </c>
      <c r="L728" t="s">
        <v>33</v>
      </c>
      <c r="M728">
        <v>4</v>
      </c>
      <c r="N728">
        <v>6</v>
      </c>
      <c r="O728" t="s">
        <v>2533</v>
      </c>
    </row>
    <row r="729" spans="1:15">
      <c r="A729" t="s">
        <v>822</v>
      </c>
      <c r="B729" t="s">
        <v>39</v>
      </c>
      <c r="C729">
        <v>13</v>
      </c>
      <c r="D729">
        <v>67.7</v>
      </c>
      <c r="E729">
        <v>880.1</v>
      </c>
      <c r="F729" s="12">
        <v>45688</v>
      </c>
      <c r="G729" s="12">
        <v>45690</v>
      </c>
      <c r="H729" t="s">
        <v>27</v>
      </c>
      <c r="I729" t="s">
        <v>18</v>
      </c>
      <c r="J729">
        <v>5</v>
      </c>
      <c r="K729" t="s">
        <v>19</v>
      </c>
      <c r="L729" t="s">
        <v>33</v>
      </c>
      <c r="M729">
        <v>2</v>
      </c>
      <c r="N729">
        <v>5</v>
      </c>
      <c r="O729" t="s">
        <v>2530</v>
      </c>
    </row>
    <row r="730" spans="1:15">
      <c r="A730" t="s">
        <v>823</v>
      </c>
      <c r="B730" t="s">
        <v>42</v>
      </c>
      <c r="C730">
        <v>6</v>
      </c>
      <c r="D730">
        <v>142.19999999999999</v>
      </c>
      <c r="E730">
        <v>853.19999999999993</v>
      </c>
      <c r="F730" s="12">
        <v>45688</v>
      </c>
      <c r="G730" s="12">
        <v>45689</v>
      </c>
      <c r="H730" t="s">
        <v>27</v>
      </c>
      <c r="I730" t="s">
        <v>40</v>
      </c>
      <c r="J730">
        <v>2</v>
      </c>
      <c r="K730" t="s">
        <v>19</v>
      </c>
      <c r="L730" t="s">
        <v>33</v>
      </c>
      <c r="M730">
        <v>1</v>
      </c>
      <c r="N730">
        <v>5</v>
      </c>
      <c r="O730" t="s">
        <v>2530</v>
      </c>
    </row>
    <row r="731" spans="1:15">
      <c r="A731" t="s">
        <v>824</v>
      </c>
      <c r="B731" t="s">
        <v>22</v>
      </c>
      <c r="C731">
        <v>9</v>
      </c>
      <c r="D731">
        <v>45.8</v>
      </c>
      <c r="E731">
        <v>412.2</v>
      </c>
      <c r="F731" s="12">
        <v>45688</v>
      </c>
      <c r="G731" s="12">
        <v>45690</v>
      </c>
      <c r="H731" t="s">
        <v>27</v>
      </c>
      <c r="I731" t="s">
        <v>35</v>
      </c>
      <c r="J731">
        <v>5</v>
      </c>
      <c r="K731" t="s">
        <v>19</v>
      </c>
      <c r="L731" t="s">
        <v>33</v>
      </c>
      <c r="M731">
        <v>2</v>
      </c>
      <c r="N731">
        <v>5</v>
      </c>
      <c r="O731" t="s">
        <v>2530</v>
      </c>
    </row>
    <row r="732" spans="1:15">
      <c r="A732" t="s">
        <v>825</v>
      </c>
      <c r="B732" t="s">
        <v>54</v>
      </c>
      <c r="C732">
        <v>2</v>
      </c>
      <c r="D732">
        <v>24.2</v>
      </c>
      <c r="E732">
        <v>48.4</v>
      </c>
      <c r="F732" s="12">
        <v>45689</v>
      </c>
      <c r="G732" s="12">
        <v>45692</v>
      </c>
      <c r="H732" t="s">
        <v>27</v>
      </c>
      <c r="I732" t="s">
        <v>51</v>
      </c>
      <c r="J732">
        <v>5</v>
      </c>
      <c r="K732" t="s">
        <v>19</v>
      </c>
      <c r="L732" t="s">
        <v>33</v>
      </c>
      <c r="M732">
        <v>3</v>
      </c>
      <c r="N732">
        <v>5</v>
      </c>
      <c r="O732" t="s">
        <v>2530</v>
      </c>
    </row>
    <row r="733" spans="1:15">
      <c r="A733" t="s">
        <v>826</v>
      </c>
      <c r="B733" t="s">
        <v>26</v>
      </c>
      <c r="C733">
        <v>3</v>
      </c>
      <c r="D733">
        <v>144.9</v>
      </c>
      <c r="E733">
        <v>434.70000000000005</v>
      </c>
      <c r="F733" s="12">
        <v>45689</v>
      </c>
      <c r="G733" s="12">
        <v>45690</v>
      </c>
      <c r="H733" t="s">
        <v>89</v>
      </c>
      <c r="I733" t="s">
        <v>40</v>
      </c>
      <c r="J733">
        <v>5</v>
      </c>
      <c r="K733" t="s">
        <v>19</v>
      </c>
      <c r="L733" t="s">
        <v>33</v>
      </c>
      <c r="M733">
        <v>1</v>
      </c>
      <c r="N733">
        <v>5</v>
      </c>
      <c r="O733" t="s">
        <v>2532</v>
      </c>
    </row>
    <row r="734" spans="1:15">
      <c r="A734" t="s">
        <v>1002</v>
      </c>
      <c r="B734" t="s">
        <v>76</v>
      </c>
      <c r="C734">
        <v>4</v>
      </c>
      <c r="D734">
        <v>22.6</v>
      </c>
      <c r="E734">
        <v>90.4</v>
      </c>
      <c r="F734" s="12">
        <v>45694</v>
      </c>
      <c r="G734" s="12">
        <v>45697</v>
      </c>
      <c r="H734" t="s">
        <v>89</v>
      </c>
      <c r="I734" t="s">
        <v>18</v>
      </c>
      <c r="J734">
        <v>3</v>
      </c>
      <c r="K734" t="s">
        <v>19</v>
      </c>
      <c r="L734" t="s">
        <v>33</v>
      </c>
      <c r="M734">
        <v>3</v>
      </c>
      <c r="N734">
        <v>6</v>
      </c>
      <c r="O734" t="s">
        <v>2532</v>
      </c>
    </row>
    <row r="735" spans="1:15">
      <c r="A735" t="s">
        <v>1001</v>
      </c>
      <c r="B735" t="s">
        <v>39</v>
      </c>
      <c r="C735">
        <v>5</v>
      </c>
      <c r="D735">
        <v>72.3</v>
      </c>
      <c r="E735">
        <v>361.5</v>
      </c>
      <c r="F735" s="12">
        <v>45694</v>
      </c>
      <c r="G735" s="12">
        <v>45696</v>
      </c>
      <c r="H735" t="s">
        <v>27</v>
      </c>
      <c r="I735" t="s">
        <v>35</v>
      </c>
      <c r="J735">
        <v>4</v>
      </c>
      <c r="K735" t="s">
        <v>19</v>
      </c>
      <c r="L735" t="s">
        <v>33</v>
      </c>
      <c r="M735">
        <v>2</v>
      </c>
      <c r="N735">
        <v>6</v>
      </c>
      <c r="O735" t="s">
        <v>2530</v>
      </c>
    </row>
    <row r="736" spans="1:15">
      <c r="A736" t="s">
        <v>1000</v>
      </c>
      <c r="B736" t="s">
        <v>39</v>
      </c>
      <c r="C736">
        <v>9</v>
      </c>
      <c r="D736">
        <v>53.6</v>
      </c>
      <c r="E736">
        <v>482.40000000000003</v>
      </c>
      <c r="F736" s="12">
        <v>45694</v>
      </c>
      <c r="G736" s="12">
        <v>45695</v>
      </c>
      <c r="H736" t="s">
        <v>23</v>
      </c>
      <c r="I736" t="s">
        <v>40</v>
      </c>
      <c r="J736">
        <v>3</v>
      </c>
      <c r="K736" t="s">
        <v>19</v>
      </c>
      <c r="L736" t="s">
        <v>33</v>
      </c>
      <c r="M736">
        <v>1</v>
      </c>
      <c r="N736">
        <v>6</v>
      </c>
      <c r="O736" t="s">
        <v>2531</v>
      </c>
    </row>
    <row r="737" spans="1:15">
      <c r="A737" t="s">
        <v>978</v>
      </c>
      <c r="B737" t="s">
        <v>22</v>
      </c>
      <c r="C737">
        <v>5</v>
      </c>
      <c r="D737">
        <v>35.1</v>
      </c>
      <c r="E737">
        <v>175.5</v>
      </c>
      <c r="F737" s="12">
        <v>45694</v>
      </c>
      <c r="G737" s="12">
        <v>45695</v>
      </c>
      <c r="H737" t="s">
        <v>27</v>
      </c>
      <c r="I737" t="s">
        <v>18</v>
      </c>
      <c r="J737">
        <v>4</v>
      </c>
      <c r="K737" t="s">
        <v>19</v>
      </c>
      <c r="L737" t="s">
        <v>33</v>
      </c>
      <c r="M737">
        <v>1</v>
      </c>
      <c r="N737">
        <v>6</v>
      </c>
      <c r="O737" t="s">
        <v>2530</v>
      </c>
    </row>
    <row r="738" spans="1:15">
      <c r="A738" t="s">
        <v>977</v>
      </c>
      <c r="B738" t="s">
        <v>26</v>
      </c>
      <c r="C738">
        <v>2</v>
      </c>
      <c r="D738">
        <v>83.7</v>
      </c>
      <c r="E738">
        <v>167.4</v>
      </c>
      <c r="F738" s="12">
        <v>45694</v>
      </c>
      <c r="G738" s="12">
        <v>45696</v>
      </c>
      <c r="H738" t="s">
        <v>27</v>
      </c>
      <c r="I738" t="s">
        <v>51</v>
      </c>
      <c r="J738">
        <v>5</v>
      </c>
      <c r="K738" t="s">
        <v>19</v>
      </c>
      <c r="L738" t="s">
        <v>33</v>
      </c>
      <c r="M738">
        <v>2</v>
      </c>
      <c r="N738">
        <v>6</v>
      </c>
      <c r="O738" t="s">
        <v>2530</v>
      </c>
    </row>
    <row r="739" spans="1:15">
      <c r="A739" t="s">
        <v>976</v>
      </c>
      <c r="B739" t="s">
        <v>54</v>
      </c>
      <c r="C739">
        <v>6</v>
      </c>
      <c r="D739">
        <v>37</v>
      </c>
      <c r="E739">
        <v>222</v>
      </c>
      <c r="F739" s="12">
        <v>45694</v>
      </c>
      <c r="G739" s="12">
        <v>45697</v>
      </c>
      <c r="H739" t="s">
        <v>27</v>
      </c>
      <c r="I739" t="s">
        <v>35</v>
      </c>
      <c r="J739">
        <v>5</v>
      </c>
      <c r="K739" t="s">
        <v>19</v>
      </c>
      <c r="L739" t="s">
        <v>33</v>
      </c>
      <c r="M739">
        <v>3</v>
      </c>
      <c r="N739">
        <v>6</v>
      </c>
      <c r="O739" t="s">
        <v>2530</v>
      </c>
    </row>
    <row r="740" spans="1:15">
      <c r="A740" t="s">
        <v>975</v>
      </c>
      <c r="B740" t="s">
        <v>123</v>
      </c>
      <c r="C740">
        <v>6</v>
      </c>
      <c r="D740">
        <v>49.4</v>
      </c>
      <c r="E740">
        <v>296.39999999999998</v>
      </c>
      <c r="F740" s="12">
        <v>45694</v>
      </c>
      <c r="G740" s="12">
        <v>45694</v>
      </c>
      <c r="H740" t="s">
        <v>23</v>
      </c>
      <c r="I740" t="s">
        <v>35</v>
      </c>
      <c r="J740">
        <v>4</v>
      </c>
      <c r="K740" t="s">
        <v>19</v>
      </c>
      <c r="L740" t="s">
        <v>33</v>
      </c>
      <c r="M740">
        <v>0</v>
      </c>
      <c r="N740">
        <v>6</v>
      </c>
      <c r="O740" t="s">
        <v>2531</v>
      </c>
    </row>
    <row r="741" spans="1:15">
      <c r="A741" t="s">
        <v>974</v>
      </c>
      <c r="B741" t="s">
        <v>16</v>
      </c>
      <c r="C741">
        <v>3</v>
      </c>
      <c r="D741">
        <v>15.7</v>
      </c>
      <c r="E741">
        <v>47.099999999999994</v>
      </c>
      <c r="F741" s="12">
        <v>45694</v>
      </c>
      <c r="G741" s="12">
        <v>45700</v>
      </c>
      <c r="H741" t="s">
        <v>27</v>
      </c>
      <c r="I741" t="s">
        <v>18</v>
      </c>
      <c r="J741">
        <v>4</v>
      </c>
      <c r="K741" t="s">
        <v>19</v>
      </c>
      <c r="L741" t="s">
        <v>33</v>
      </c>
      <c r="M741">
        <v>6</v>
      </c>
      <c r="N741">
        <v>6</v>
      </c>
      <c r="O741" t="s">
        <v>2530</v>
      </c>
    </row>
    <row r="742" spans="1:15">
      <c r="A742" t="s">
        <v>973</v>
      </c>
      <c r="B742" t="s">
        <v>42</v>
      </c>
      <c r="C742">
        <v>2</v>
      </c>
      <c r="D742">
        <v>64.7</v>
      </c>
      <c r="E742">
        <v>129.4</v>
      </c>
      <c r="F742" s="12">
        <v>45694</v>
      </c>
      <c r="G742" s="12">
        <v>45696</v>
      </c>
      <c r="H742" t="s">
        <v>23</v>
      </c>
      <c r="I742" t="s">
        <v>35</v>
      </c>
      <c r="J742">
        <v>5</v>
      </c>
      <c r="K742" t="s">
        <v>19</v>
      </c>
      <c r="L742" t="s">
        <v>33</v>
      </c>
      <c r="M742">
        <v>2</v>
      </c>
      <c r="N742">
        <v>6</v>
      </c>
      <c r="O742" t="s">
        <v>2531</v>
      </c>
    </row>
    <row r="743" spans="1:15">
      <c r="A743" t="s">
        <v>972</v>
      </c>
      <c r="B743" t="s">
        <v>42</v>
      </c>
      <c r="C743">
        <v>6</v>
      </c>
      <c r="D743">
        <v>33.6</v>
      </c>
      <c r="E743">
        <v>201.60000000000002</v>
      </c>
      <c r="F743" s="12">
        <v>45694</v>
      </c>
      <c r="G743" s="12">
        <v>45695</v>
      </c>
      <c r="H743" t="s">
        <v>27</v>
      </c>
      <c r="I743" t="s">
        <v>51</v>
      </c>
      <c r="J743">
        <v>4</v>
      </c>
      <c r="K743" t="s">
        <v>19</v>
      </c>
      <c r="L743" t="s">
        <v>33</v>
      </c>
      <c r="M743">
        <v>1</v>
      </c>
      <c r="N743">
        <v>6</v>
      </c>
      <c r="O743" t="s">
        <v>2530</v>
      </c>
    </row>
    <row r="744" spans="1:15">
      <c r="A744" t="s">
        <v>971</v>
      </c>
      <c r="B744" t="s">
        <v>26</v>
      </c>
      <c r="C744">
        <v>2</v>
      </c>
      <c r="D744">
        <v>83.6</v>
      </c>
      <c r="E744">
        <v>167.2</v>
      </c>
      <c r="F744" s="12">
        <v>45693</v>
      </c>
      <c r="G744" s="12">
        <v>45699</v>
      </c>
      <c r="H744" t="s">
        <v>27</v>
      </c>
      <c r="I744" t="s">
        <v>35</v>
      </c>
      <c r="J744">
        <v>4</v>
      </c>
      <c r="K744" t="s">
        <v>19</v>
      </c>
      <c r="L744" t="s">
        <v>33</v>
      </c>
      <c r="M744">
        <v>6</v>
      </c>
      <c r="N744">
        <v>6</v>
      </c>
      <c r="O744" t="s">
        <v>2530</v>
      </c>
    </row>
    <row r="745" spans="1:15">
      <c r="A745" t="s">
        <v>956</v>
      </c>
      <c r="B745" t="s">
        <v>123</v>
      </c>
      <c r="C745">
        <v>4</v>
      </c>
      <c r="D745">
        <v>66.5</v>
      </c>
      <c r="E745">
        <v>266</v>
      </c>
      <c r="F745" s="12">
        <v>45693</v>
      </c>
      <c r="G745" s="12">
        <v>45695</v>
      </c>
      <c r="H745" t="s">
        <v>17</v>
      </c>
      <c r="I745" t="s">
        <v>51</v>
      </c>
      <c r="J745">
        <v>3</v>
      </c>
      <c r="K745" t="s">
        <v>19</v>
      </c>
      <c r="L745" t="s">
        <v>33</v>
      </c>
      <c r="M745">
        <v>2</v>
      </c>
      <c r="N745">
        <v>6</v>
      </c>
      <c r="O745" t="s">
        <v>2533</v>
      </c>
    </row>
    <row r="746" spans="1:15">
      <c r="A746" t="s">
        <v>955</v>
      </c>
      <c r="B746" t="s">
        <v>44</v>
      </c>
      <c r="C746">
        <v>3</v>
      </c>
      <c r="D746">
        <v>39.200000000000003</v>
      </c>
      <c r="E746">
        <v>117.60000000000001</v>
      </c>
      <c r="F746" s="12">
        <v>45693</v>
      </c>
      <c r="G746" s="12">
        <v>45695</v>
      </c>
      <c r="H746" t="s">
        <v>27</v>
      </c>
      <c r="I746" t="s">
        <v>18</v>
      </c>
      <c r="J746">
        <v>3</v>
      </c>
      <c r="K746" t="s">
        <v>19</v>
      </c>
      <c r="L746" t="s">
        <v>33</v>
      </c>
      <c r="M746">
        <v>2</v>
      </c>
      <c r="N746">
        <v>6</v>
      </c>
      <c r="O746" t="s">
        <v>2530</v>
      </c>
    </row>
    <row r="747" spans="1:15">
      <c r="A747" t="s">
        <v>954</v>
      </c>
      <c r="B747" t="s">
        <v>146</v>
      </c>
      <c r="C747">
        <v>3</v>
      </c>
      <c r="D747">
        <v>55.9</v>
      </c>
      <c r="E747">
        <v>167.7</v>
      </c>
      <c r="F747" s="12">
        <v>45693</v>
      </c>
      <c r="G747" s="12">
        <v>45699</v>
      </c>
      <c r="H747" t="s">
        <v>23</v>
      </c>
      <c r="I747" t="s">
        <v>51</v>
      </c>
      <c r="J747">
        <v>3</v>
      </c>
      <c r="K747" t="s">
        <v>19</v>
      </c>
      <c r="L747" t="s">
        <v>33</v>
      </c>
      <c r="M747">
        <v>6</v>
      </c>
      <c r="N747">
        <v>6</v>
      </c>
      <c r="O747" t="s">
        <v>2531</v>
      </c>
    </row>
    <row r="748" spans="1:15">
      <c r="A748" t="s">
        <v>953</v>
      </c>
      <c r="B748" t="s">
        <v>44</v>
      </c>
      <c r="C748">
        <v>6</v>
      </c>
      <c r="D748">
        <v>18.3</v>
      </c>
      <c r="E748">
        <v>109.80000000000001</v>
      </c>
      <c r="F748" s="12">
        <v>45693</v>
      </c>
      <c r="G748" s="12">
        <v>45696</v>
      </c>
      <c r="H748" t="s">
        <v>27</v>
      </c>
      <c r="I748" t="s">
        <v>18</v>
      </c>
      <c r="J748">
        <v>4</v>
      </c>
      <c r="K748" t="s">
        <v>19</v>
      </c>
      <c r="L748" t="s">
        <v>33</v>
      </c>
      <c r="M748">
        <v>3</v>
      </c>
      <c r="N748">
        <v>6</v>
      </c>
      <c r="O748" t="s">
        <v>2530</v>
      </c>
    </row>
    <row r="749" spans="1:15">
      <c r="A749" t="s">
        <v>952</v>
      </c>
      <c r="B749" t="s">
        <v>44</v>
      </c>
      <c r="C749">
        <v>1</v>
      </c>
      <c r="D749">
        <v>16.8</v>
      </c>
      <c r="E749">
        <v>16.8</v>
      </c>
      <c r="F749" s="12">
        <v>45693</v>
      </c>
      <c r="G749" s="12">
        <v>45695</v>
      </c>
      <c r="H749" t="s">
        <v>27</v>
      </c>
      <c r="I749" t="s">
        <v>51</v>
      </c>
      <c r="J749">
        <v>4</v>
      </c>
      <c r="K749" t="s">
        <v>19</v>
      </c>
      <c r="L749" t="s">
        <v>33</v>
      </c>
      <c r="M749">
        <v>2</v>
      </c>
      <c r="N749">
        <v>6</v>
      </c>
      <c r="O749" t="s">
        <v>2530</v>
      </c>
    </row>
    <row r="750" spans="1:15">
      <c r="A750" t="s">
        <v>843</v>
      </c>
      <c r="B750" t="s">
        <v>22</v>
      </c>
      <c r="C750">
        <v>11</v>
      </c>
      <c r="D750">
        <v>92.3</v>
      </c>
      <c r="E750">
        <v>1015.3</v>
      </c>
      <c r="F750" s="12">
        <v>45690</v>
      </c>
      <c r="G750" s="12">
        <v>45692</v>
      </c>
      <c r="H750" t="s">
        <v>23</v>
      </c>
      <c r="I750" t="s">
        <v>35</v>
      </c>
      <c r="J750">
        <v>4</v>
      </c>
      <c r="K750" t="s">
        <v>19</v>
      </c>
      <c r="L750" t="s">
        <v>33</v>
      </c>
      <c r="M750">
        <v>2</v>
      </c>
      <c r="N750">
        <v>6</v>
      </c>
      <c r="O750" t="s">
        <v>2531</v>
      </c>
    </row>
    <row r="751" spans="1:15">
      <c r="A751" t="s">
        <v>844</v>
      </c>
      <c r="B751" t="s">
        <v>39</v>
      </c>
      <c r="C751">
        <v>3</v>
      </c>
      <c r="D751">
        <v>81.7</v>
      </c>
      <c r="E751">
        <v>245.10000000000002</v>
      </c>
      <c r="F751" s="12">
        <v>45690</v>
      </c>
      <c r="G751" s="12">
        <v>45691</v>
      </c>
      <c r="H751" t="s">
        <v>17</v>
      </c>
      <c r="I751" t="s">
        <v>70</v>
      </c>
      <c r="J751">
        <v>2</v>
      </c>
      <c r="K751" t="s">
        <v>19</v>
      </c>
      <c r="L751" t="s">
        <v>33</v>
      </c>
      <c r="M751">
        <v>1</v>
      </c>
      <c r="N751">
        <v>6</v>
      </c>
      <c r="O751" t="s">
        <v>2533</v>
      </c>
    </row>
    <row r="752" spans="1:15">
      <c r="A752" t="s">
        <v>845</v>
      </c>
      <c r="B752" t="s">
        <v>44</v>
      </c>
      <c r="C752">
        <v>2</v>
      </c>
      <c r="D752">
        <v>40.9</v>
      </c>
      <c r="E752">
        <v>81.8</v>
      </c>
      <c r="F752" s="12">
        <v>45690</v>
      </c>
      <c r="G752" s="12">
        <v>45692</v>
      </c>
      <c r="H752" t="s">
        <v>23</v>
      </c>
      <c r="I752" t="s">
        <v>18</v>
      </c>
      <c r="J752">
        <v>3</v>
      </c>
      <c r="K752" t="s">
        <v>19</v>
      </c>
      <c r="L752" t="s">
        <v>33</v>
      </c>
      <c r="M752">
        <v>2</v>
      </c>
      <c r="N752">
        <v>6</v>
      </c>
      <c r="O752" t="s">
        <v>2531</v>
      </c>
    </row>
    <row r="753" spans="1:15">
      <c r="A753" t="s">
        <v>846</v>
      </c>
      <c r="B753" t="s">
        <v>39</v>
      </c>
      <c r="C753">
        <v>4</v>
      </c>
      <c r="D753">
        <v>43.2</v>
      </c>
      <c r="E753">
        <v>172.8</v>
      </c>
      <c r="F753" s="12">
        <v>45690</v>
      </c>
      <c r="G753" s="12">
        <v>45696</v>
      </c>
      <c r="H753" t="s">
        <v>27</v>
      </c>
      <c r="I753" t="s">
        <v>18</v>
      </c>
      <c r="J753">
        <v>3</v>
      </c>
      <c r="K753" t="s">
        <v>19</v>
      </c>
      <c r="L753" t="s">
        <v>33</v>
      </c>
      <c r="M753">
        <v>6</v>
      </c>
      <c r="N753">
        <v>6</v>
      </c>
      <c r="O753" t="s">
        <v>2530</v>
      </c>
    </row>
    <row r="754" spans="1:15">
      <c r="A754" t="s">
        <v>847</v>
      </c>
      <c r="B754" t="s">
        <v>44</v>
      </c>
      <c r="C754">
        <v>11</v>
      </c>
      <c r="D754">
        <v>25.8</v>
      </c>
      <c r="E754">
        <v>283.8</v>
      </c>
      <c r="F754" s="12">
        <v>45690</v>
      </c>
      <c r="G754" s="12">
        <v>45693</v>
      </c>
      <c r="H754" t="s">
        <v>23</v>
      </c>
      <c r="I754" t="s">
        <v>40</v>
      </c>
      <c r="J754">
        <v>3</v>
      </c>
      <c r="K754" t="s">
        <v>19</v>
      </c>
      <c r="L754" t="s">
        <v>33</v>
      </c>
      <c r="M754">
        <v>3</v>
      </c>
      <c r="N754">
        <v>6</v>
      </c>
      <c r="O754" t="s">
        <v>2531</v>
      </c>
    </row>
    <row r="755" spans="1:15">
      <c r="A755" t="s">
        <v>848</v>
      </c>
      <c r="B755" t="s">
        <v>123</v>
      </c>
      <c r="C755">
        <v>4</v>
      </c>
      <c r="D755">
        <v>36.4</v>
      </c>
      <c r="E755">
        <v>145.6</v>
      </c>
      <c r="F755" s="12">
        <v>45690</v>
      </c>
      <c r="G755" s="12">
        <v>45691</v>
      </c>
      <c r="H755" t="s">
        <v>23</v>
      </c>
      <c r="I755" t="s">
        <v>18</v>
      </c>
      <c r="J755">
        <v>4</v>
      </c>
      <c r="K755" t="s">
        <v>19</v>
      </c>
      <c r="L755" t="s">
        <v>33</v>
      </c>
      <c r="M755">
        <v>1</v>
      </c>
      <c r="N755">
        <v>6</v>
      </c>
      <c r="O755" t="s">
        <v>2531</v>
      </c>
    </row>
    <row r="756" spans="1:15">
      <c r="A756" t="s">
        <v>951</v>
      </c>
      <c r="B756" t="s">
        <v>37</v>
      </c>
      <c r="C756">
        <v>3</v>
      </c>
      <c r="D756">
        <v>34.700000000000003</v>
      </c>
      <c r="E756">
        <v>104.10000000000001</v>
      </c>
      <c r="F756" s="12">
        <v>45693</v>
      </c>
      <c r="G756" s="12">
        <v>45694</v>
      </c>
      <c r="H756" t="s">
        <v>17</v>
      </c>
      <c r="I756" t="s">
        <v>70</v>
      </c>
      <c r="J756">
        <v>3</v>
      </c>
      <c r="K756" t="s">
        <v>19</v>
      </c>
      <c r="L756" t="s">
        <v>33</v>
      </c>
      <c r="M756">
        <v>1</v>
      </c>
      <c r="N756">
        <v>6</v>
      </c>
      <c r="O756" t="s">
        <v>2533</v>
      </c>
    </row>
    <row r="757" spans="1:15">
      <c r="A757" t="s">
        <v>950</v>
      </c>
      <c r="B757" t="s">
        <v>44</v>
      </c>
      <c r="C757">
        <v>13</v>
      </c>
      <c r="D757">
        <v>48.5</v>
      </c>
      <c r="E757">
        <v>630.5</v>
      </c>
      <c r="F757" s="12">
        <v>45693</v>
      </c>
      <c r="G757" s="12">
        <v>45693</v>
      </c>
      <c r="H757" t="s">
        <v>23</v>
      </c>
      <c r="I757" t="s">
        <v>40</v>
      </c>
      <c r="J757">
        <v>5</v>
      </c>
      <c r="K757" t="s">
        <v>19</v>
      </c>
      <c r="L757" t="s">
        <v>33</v>
      </c>
      <c r="M757">
        <v>0</v>
      </c>
      <c r="N757">
        <v>6</v>
      </c>
      <c r="O757" t="s">
        <v>2531</v>
      </c>
    </row>
    <row r="758" spans="1:15">
      <c r="A758" t="s">
        <v>923</v>
      </c>
      <c r="B758" t="s">
        <v>39</v>
      </c>
      <c r="C758">
        <v>5</v>
      </c>
      <c r="D758">
        <v>64.599999999999994</v>
      </c>
      <c r="E758">
        <v>323</v>
      </c>
      <c r="F758" s="12">
        <v>45692</v>
      </c>
      <c r="G758" s="12">
        <v>45693</v>
      </c>
      <c r="H758" t="s">
        <v>27</v>
      </c>
      <c r="I758" t="s">
        <v>51</v>
      </c>
      <c r="J758">
        <v>4</v>
      </c>
      <c r="K758" t="s">
        <v>19</v>
      </c>
      <c r="L758" t="s">
        <v>33</v>
      </c>
      <c r="M758">
        <v>1</v>
      </c>
      <c r="N758">
        <v>6</v>
      </c>
      <c r="O758" t="s">
        <v>2530</v>
      </c>
    </row>
    <row r="759" spans="1:15">
      <c r="A759" t="s">
        <v>922</v>
      </c>
      <c r="B759" t="s">
        <v>39</v>
      </c>
      <c r="C759">
        <v>5</v>
      </c>
      <c r="D759">
        <v>60.8</v>
      </c>
      <c r="E759">
        <v>304</v>
      </c>
      <c r="F759" s="12">
        <v>45692</v>
      </c>
      <c r="G759" s="12">
        <v>45696</v>
      </c>
      <c r="H759" t="s">
        <v>23</v>
      </c>
      <c r="I759" t="s">
        <v>18</v>
      </c>
      <c r="J759">
        <v>3</v>
      </c>
      <c r="K759" t="s">
        <v>19</v>
      </c>
      <c r="L759" t="s">
        <v>33</v>
      </c>
      <c r="M759">
        <v>4</v>
      </c>
      <c r="N759">
        <v>6</v>
      </c>
      <c r="O759" t="s">
        <v>2531</v>
      </c>
    </row>
    <row r="760" spans="1:15">
      <c r="A760" t="s">
        <v>921</v>
      </c>
      <c r="B760" t="s">
        <v>69</v>
      </c>
      <c r="C760">
        <v>5</v>
      </c>
      <c r="D760">
        <v>60.7</v>
      </c>
      <c r="E760">
        <v>303.5</v>
      </c>
      <c r="F760" s="12">
        <v>45692</v>
      </c>
      <c r="G760" s="12">
        <v>45696</v>
      </c>
      <c r="H760" t="s">
        <v>17</v>
      </c>
      <c r="I760" t="s">
        <v>35</v>
      </c>
      <c r="J760">
        <v>3</v>
      </c>
      <c r="K760" t="s">
        <v>19</v>
      </c>
      <c r="L760" t="s">
        <v>33</v>
      </c>
      <c r="M760">
        <v>4</v>
      </c>
      <c r="N760">
        <v>6</v>
      </c>
      <c r="O760" t="s">
        <v>2533</v>
      </c>
    </row>
    <row r="761" spans="1:15">
      <c r="A761" t="s">
        <v>920</v>
      </c>
      <c r="B761" t="s">
        <v>44</v>
      </c>
      <c r="C761">
        <v>4</v>
      </c>
      <c r="D761">
        <v>28.9</v>
      </c>
      <c r="E761">
        <v>115.6</v>
      </c>
      <c r="F761" s="12">
        <v>45692</v>
      </c>
      <c r="G761" s="12">
        <v>45696</v>
      </c>
      <c r="H761" t="s">
        <v>23</v>
      </c>
      <c r="I761" t="s">
        <v>40</v>
      </c>
      <c r="J761">
        <v>4</v>
      </c>
      <c r="K761" t="s">
        <v>19</v>
      </c>
      <c r="L761" t="s">
        <v>33</v>
      </c>
      <c r="M761">
        <v>4</v>
      </c>
      <c r="N761">
        <v>6</v>
      </c>
      <c r="O761" t="s">
        <v>2531</v>
      </c>
    </row>
    <row r="762" spans="1:15">
      <c r="A762" t="s">
        <v>919</v>
      </c>
      <c r="B762" t="s">
        <v>32</v>
      </c>
      <c r="C762">
        <v>3</v>
      </c>
      <c r="D762">
        <v>57</v>
      </c>
      <c r="E762">
        <v>171</v>
      </c>
      <c r="F762" s="12">
        <v>45692</v>
      </c>
      <c r="G762" s="12">
        <v>45693</v>
      </c>
      <c r="H762" t="s">
        <v>23</v>
      </c>
      <c r="I762" t="s">
        <v>18</v>
      </c>
      <c r="J762">
        <v>5</v>
      </c>
      <c r="K762" t="s">
        <v>19</v>
      </c>
      <c r="L762" t="s">
        <v>33</v>
      </c>
      <c r="M762">
        <v>1</v>
      </c>
      <c r="N762">
        <v>6</v>
      </c>
      <c r="O762" t="s">
        <v>2531</v>
      </c>
    </row>
    <row r="763" spans="1:15">
      <c r="A763" t="s">
        <v>918</v>
      </c>
      <c r="B763" t="s">
        <v>42</v>
      </c>
      <c r="C763">
        <v>2</v>
      </c>
      <c r="D763">
        <v>58.6</v>
      </c>
      <c r="E763">
        <v>117.2</v>
      </c>
      <c r="F763" s="12">
        <v>45692</v>
      </c>
      <c r="G763" s="12">
        <v>45693</v>
      </c>
      <c r="H763" t="s">
        <v>27</v>
      </c>
      <c r="I763" t="s">
        <v>40</v>
      </c>
      <c r="J763">
        <v>3</v>
      </c>
      <c r="K763" t="s">
        <v>19</v>
      </c>
      <c r="L763" t="s">
        <v>33</v>
      </c>
      <c r="M763">
        <v>1</v>
      </c>
      <c r="N763">
        <v>6</v>
      </c>
      <c r="O763" t="s">
        <v>2530</v>
      </c>
    </row>
    <row r="764" spans="1:15">
      <c r="A764" t="s">
        <v>857</v>
      </c>
      <c r="B764" t="s">
        <v>32</v>
      </c>
      <c r="C764">
        <v>8</v>
      </c>
      <c r="D764">
        <v>28.5</v>
      </c>
      <c r="E764">
        <v>228</v>
      </c>
      <c r="F764" s="12">
        <v>45690</v>
      </c>
      <c r="G764" s="12">
        <v>45692</v>
      </c>
      <c r="H764" t="s">
        <v>23</v>
      </c>
      <c r="I764" t="s">
        <v>40</v>
      </c>
      <c r="J764">
        <v>3</v>
      </c>
      <c r="K764" t="s">
        <v>19</v>
      </c>
      <c r="L764" t="s">
        <v>33</v>
      </c>
      <c r="M764">
        <v>2</v>
      </c>
      <c r="N764">
        <v>6</v>
      </c>
      <c r="O764" t="s">
        <v>2531</v>
      </c>
    </row>
    <row r="765" spans="1:15">
      <c r="A765" t="s">
        <v>858</v>
      </c>
      <c r="B765" t="s">
        <v>42</v>
      </c>
      <c r="C765">
        <v>4</v>
      </c>
      <c r="D765">
        <v>88.9</v>
      </c>
      <c r="E765">
        <v>355.6</v>
      </c>
      <c r="F765" s="12">
        <v>45690</v>
      </c>
      <c r="G765" s="12">
        <v>45693</v>
      </c>
      <c r="H765" t="s">
        <v>27</v>
      </c>
      <c r="I765" t="s">
        <v>18</v>
      </c>
      <c r="J765">
        <v>5</v>
      </c>
      <c r="K765" t="s">
        <v>19</v>
      </c>
      <c r="L765" t="s">
        <v>33</v>
      </c>
      <c r="M765">
        <v>3</v>
      </c>
      <c r="N765">
        <v>6</v>
      </c>
      <c r="O765" t="s">
        <v>2530</v>
      </c>
    </row>
    <row r="766" spans="1:15">
      <c r="A766" t="s">
        <v>859</v>
      </c>
      <c r="B766" t="s">
        <v>39</v>
      </c>
      <c r="C766">
        <v>1</v>
      </c>
      <c r="D766">
        <v>62.5</v>
      </c>
      <c r="E766">
        <v>62.5</v>
      </c>
      <c r="F766" s="12">
        <v>45690</v>
      </c>
      <c r="G766" s="12">
        <v>45699</v>
      </c>
      <c r="H766" t="s">
        <v>27</v>
      </c>
      <c r="I766" t="s">
        <v>18</v>
      </c>
      <c r="J766">
        <v>5</v>
      </c>
      <c r="K766" t="s">
        <v>19</v>
      </c>
      <c r="L766" t="s">
        <v>33</v>
      </c>
      <c r="M766">
        <v>9</v>
      </c>
      <c r="N766">
        <v>6</v>
      </c>
      <c r="O766" t="s">
        <v>2530</v>
      </c>
    </row>
    <row r="767" spans="1:15">
      <c r="A767" t="s">
        <v>860</v>
      </c>
      <c r="B767" t="s">
        <v>22</v>
      </c>
      <c r="C767">
        <v>3</v>
      </c>
      <c r="D767">
        <v>46.9</v>
      </c>
      <c r="E767">
        <v>140.69999999999999</v>
      </c>
      <c r="F767" s="12">
        <v>45690</v>
      </c>
      <c r="G767" s="12">
        <v>45691</v>
      </c>
      <c r="H767" t="s">
        <v>23</v>
      </c>
      <c r="I767" t="s">
        <v>18</v>
      </c>
      <c r="J767">
        <v>5</v>
      </c>
      <c r="K767" t="s">
        <v>19</v>
      </c>
      <c r="L767" t="s">
        <v>33</v>
      </c>
      <c r="M767">
        <v>1</v>
      </c>
      <c r="N767">
        <v>6</v>
      </c>
      <c r="O767" t="s">
        <v>2531</v>
      </c>
    </row>
    <row r="768" spans="1:15">
      <c r="A768" t="s">
        <v>861</v>
      </c>
      <c r="B768" t="s">
        <v>44</v>
      </c>
      <c r="C768">
        <v>3</v>
      </c>
      <c r="D768">
        <v>45</v>
      </c>
      <c r="E768">
        <v>135</v>
      </c>
      <c r="F768" s="12">
        <v>45690</v>
      </c>
      <c r="G768" s="12">
        <v>45704</v>
      </c>
      <c r="H768" t="s">
        <v>23</v>
      </c>
      <c r="I768" t="s">
        <v>35</v>
      </c>
      <c r="J768">
        <v>4</v>
      </c>
      <c r="K768" t="s">
        <v>19</v>
      </c>
      <c r="L768" t="s">
        <v>33</v>
      </c>
      <c r="M768">
        <v>14</v>
      </c>
      <c r="N768">
        <v>6</v>
      </c>
      <c r="O768" t="s">
        <v>2531</v>
      </c>
    </row>
    <row r="769" spans="1:15">
      <c r="A769" t="s">
        <v>862</v>
      </c>
      <c r="B769" t="s">
        <v>39</v>
      </c>
      <c r="C769">
        <v>3</v>
      </c>
      <c r="D769">
        <v>45.2</v>
      </c>
      <c r="E769">
        <v>135.60000000000002</v>
      </c>
      <c r="F769" s="12">
        <v>45690</v>
      </c>
      <c r="G769" s="12">
        <v>45692</v>
      </c>
      <c r="H769" t="s">
        <v>23</v>
      </c>
      <c r="I769" t="s">
        <v>70</v>
      </c>
      <c r="J769">
        <v>5</v>
      </c>
      <c r="K769" t="s">
        <v>19</v>
      </c>
      <c r="L769" t="s">
        <v>33</v>
      </c>
      <c r="M769">
        <v>2</v>
      </c>
      <c r="N769">
        <v>6</v>
      </c>
      <c r="O769" t="s">
        <v>2531</v>
      </c>
    </row>
    <row r="770" spans="1:15">
      <c r="A770" t="s">
        <v>863</v>
      </c>
      <c r="B770" t="s">
        <v>32</v>
      </c>
      <c r="C770">
        <v>2</v>
      </c>
      <c r="D770">
        <v>60.1</v>
      </c>
      <c r="E770">
        <v>120.2</v>
      </c>
      <c r="F770" s="12">
        <v>45690</v>
      </c>
      <c r="G770" s="12">
        <v>45691</v>
      </c>
      <c r="H770" t="s">
        <v>27</v>
      </c>
      <c r="I770" t="s">
        <v>18</v>
      </c>
      <c r="J770">
        <v>5</v>
      </c>
      <c r="K770" t="s">
        <v>19</v>
      </c>
      <c r="L770" t="s">
        <v>33</v>
      </c>
      <c r="M770">
        <v>1</v>
      </c>
      <c r="N770">
        <v>6</v>
      </c>
      <c r="O770" t="s">
        <v>2530</v>
      </c>
    </row>
    <row r="771" spans="1:15">
      <c r="A771" t="s">
        <v>864</v>
      </c>
      <c r="B771" t="s">
        <v>69</v>
      </c>
      <c r="C771">
        <v>4</v>
      </c>
      <c r="D771">
        <v>118.7</v>
      </c>
      <c r="E771">
        <v>474.8</v>
      </c>
      <c r="F771" s="12">
        <v>45690</v>
      </c>
      <c r="G771" s="12">
        <v>45692</v>
      </c>
      <c r="H771" t="s">
        <v>27</v>
      </c>
      <c r="I771" t="s">
        <v>18</v>
      </c>
      <c r="J771">
        <v>4</v>
      </c>
      <c r="K771" t="s">
        <v>19</v>
      </c>
      <c r="L771" t="s">
        <v>33</v>
      </c>
      <c r="M771">
        <v>2</v>
      </c>
      <c r="N771">
        <v>6</v>
      </c>
      <c r="O771" t="s">
        <v>2530</v>
      </c>
    </row>
    <row r="772" spans="1:15">
      <c r="A772" t="s">
        <v>865</v>
      </c>
      <c r="B772" t="s">
        <v>46</v>
      </c>
      <c r="C772">
        <v>1</v>
      </c>
      <c r="D772">
        <v>57.8</v>
      </c>
      <c r="E772">
        <v>57.8</v>
      </c>
      <c r="F772" s="12">
        <v>45690</v>
      </c>
      <c r="G772" s="12">
        <v>45699</v>
      </c>
      <c r="H772" t="s">
        <v>27</v>
      </c>
      <c r="I772" t="s">
        <v>35</v>
      </c>
      <c r="J772">
        <v>4</v>
      </c>
      <c r="K772" t="s">
        <v>19</v>
      </c>
      <c r="L772" t="s">
        <v>33</v>
      </c>
      <c r="M772">
        <v>9</v>
      </c>
      <c r="N772">
        <v>6</v>
      </c>
      <c r="O772" t="s">
        <v>2530</v>
      </c>
    </row>
    <row r="773" spans="1:15">
      <c r="A773" t="s">
        <v>866</v>
      </c>
      <c r="B773" t="s">
        <v>32</v>
      </c>
      <c r="C773">
        <v>1</v>
      </c>
      <c r="D773">
        <v>19.5</v>
      </c>
      <c r="E773">
        <v>19.5</v>
      </c>
      <c r="F773" s="12">
        <v>45690</v>
      </c>
      <c r="G773" s="12">
        <v>45691</v>
      </c>
      <c r="H773" t="s">
        <v>23</v>
      </c>
      <c r="I773" t="s">
        <v>35</v>
      </c>
      <c r="J773">
        <v>3</v>
      </c>
      <c r="K773" t="s">
        <v>19</v>
      </c>
      <c r="L773" t="s">
        <v>33</v>
      </c>
      <c r="M773">
        <v>1</v>
      </c>
      <c r="N773">
        <v>6</v>
      </c>
      <c r="O773" t="s">
        <v>2531</v>
      </c>
    </row>
    <row r="774" spans="1:15">
      <c r="A774" t="s">
        <v>867</v>
      </c>
      <c r="B774" t="s">
        <v>69</v>
      </c>
      <c r="C774">
        <v>1</v>
      </c>
      <c r="D774">
        <v>42.6</v>
      </c>
      <c r="E774">
        <v>42.6</v>
      </c>
      <c r="F774" s="12">
        <v>45690</v>
      </c>
      <c r="G774" s="12">
        <v>45691</v>
      </c>
      <c r="H774" t="s">
        <v>23</v>
      </c>
      <c r="I774" t="s">
        <v>18</v>
      </c>
      <c r="J774">
        <v>3</v>
      </c>
      <c r="K774" t="s">
        <v>19</v>
      </c>
      <c r="L774" t="s">
        <v>33</v>
      </c>
      <c r="M774">
        <v>1</v>
      </c>
      <c r="N774">
        <v>6</v>
      </c>
      <c r="O774" t="s">
        <v>2531</v>
      </c>
    </row>
    <row r="775" spans="1:15">
      <c r="A775" t="s">
        <v>917</v>
      </c>
      <c r="B775" t="s">
        <v>39</v>
      </c>
      <c r="C775">
        <v>2</v>
      </c>
      <c r="D775">
        <v>47.2</v>
      </c>
      <c r="E775">
        <v>94.4</v>
      </c>
      <c r="F775" s="12">
        <v>45692</v>
      </c>
      <c r="G775" s="12">
        <v>45694</v>
      </c>
      <c r="H775" t="s">
        <v>27</v>
      </c>
      <c r="I775" t="s">
        <v>18</v>
      </c>
      <c r="J775">
        <v>5</v>
      </c>
      <c r="K775" t="s">
        <v>19</v>
      </c>
      <c r="L775" t="s">
        <v>33</v>
      </c>
      <c r="M775">
        <v>2</v>
      </c>
      <c r="N775">
        <v>6</v>
      </c>
      <c r="O775" t="s">
        <v>2530</v>
      </c>
    </row>
    <row r="776" spans="1:15">
      <c r="A776" t="s">
        <v>916</v>
      </c>
      <c r="B776" t="s">
        <v>42</v>
      </c>
      <c r="C776">
        <v>5</v>
      </c>
      <c r="D776">
        <v>46.4</v>
      </c>
      <c r="E776">
        <v>232</v>
      </c>
      <c r="F776" s="12">
        <v>45692</v>
      </c>
      <c r="G776" s="12">
        <v>45695</v>
      </c>
      <c r="H776" t="s">
        <v>27</v>
      </c>
      <c r="I776" t="s">
        <v>18</v>
      </c>
      <c r="J776">
        <v>4</v>
      </c>
      <c r="K776" t="s">
        <v>19</v>
      </c>
      <c r="L776" t="s">
        <v>33</v>
      </c>
      <c r="M776">
        <v>3</v>
      </c>
      <c r="N776">
        <v>6</v>
      </c>
      <c r="O776" t="s">
        <v>2530</v>
      </c>
    </row>
    <row r="777" spans="1:15">
      <c r="A777" t="s">
        <v>915</v>
      </c>
      <c r="B777" t="s">
        <v>146</v>
      </c>
      <c r="C777">
        <v>2</v>
      </c>
      <c r="D777">
        <v>95.7</v>
      </c>
      <c r="E777">
        <v>191.4</v>
      </c>
      <c r="F777" s="12">
        <v>45692</v>
      </c>
      <c r="G777" s="12">
        <v>45698</v>
      </c>
      <c r="H777" t="s">
        <v>27</v>
      </c>
      <c r="I777" t="s">
        <v>51</v>
      </c>
      <c r="J777">
        <v>5</v>
      </c>
      <c r="K777" t="s">
        <v>19</v>
      </c>
      <c r="L777" t="s">
        <v>33</v>
      </c>
      <c r="M777">
        <v>6</v>
      </c>
      <c r="N777">
        <v>6</v>
      </c>
      <c r="O777" t="s">
        <v>2530</v>
      </c>
    </row>
    <row r="778" spans="1:15">
      <c r="A778" t="s">
        <v>914</v>
      </c>
      <c r="B778" t="s">
        <v>32</v>
      </c>
      <c r="C778">
        <v>6</v>
      </c>
      <c r="D778">
        <v>44</v>
      </c>
      <c r="E778">
        <v>264</v>
      </c>
      <c r="F778" s="12">
        <v>45692</v>
      </c>
      <c r="G778" s="12">
        <v>45693</v>
      </c>
      <c r="H778" t="s">
        <v>27</v>
      </c>
      <c r="I778" t="s">
        <v>18</v>
      </c>
      <c r="J778">
        <v>4</v>
      </c>
      <c r="K778" t="s">
        <v>19</v>
      </c>
      <c r="L778" t="s">
        <v>33</v>
      </c>
      <c r="M778">
        <v>1</v>
      </c>
      <c r="N778">
        <v>6</v>
      </c>
      <c r="O778" t="s">
        <v>2530</v>
      </c>
    </row>
    <row r="779" spans="1:15">
      <c r="A779" t="s">
        <v>913</v>
      </c>
      <c r="B779" t="s">
        <v>54</v>
      </c>
      <c r="C779">
        <v>1</v>
      </c>
      <c r="D779">
        <v>46.1</v>
      </c>
      <c r="E779">
        <v>46.1</v>
      </c>
      <c r="F779" s="12">
        <v>45692</v>
      </c>
      <c r="G779" s="12">
        <v>45693</v>
      </c>
      <c r="H779" t="s">
        <v>89</v>
      </c>
      <c r="I779" t="s">
        <v>40</v>
      </c>
      <c r="J779">
        <v>4</v>
      </c>
      <c r="K779" t="s">
        <v>19</v>
      </c>
      <c r="L779" t="s">
        <v>33</v>
      </c>
      <c r="M779">
        <v>1</v>
      </c>
      <c r="N779">
        <v>6</v>
      </c>
      <c r="O779" t="s">
        <v>2532</v>
      </c>
    </row>
    <row r="780" spans="1:15">
      <c r="A780" t="s">
        <v>894</v>
      </c>
      <c r="B780" t="s">
        <v>32</v>
      </c>
      <c r="C780">
        <v>31</v>
      </c>
      <c r="D780">
        <v>31.4</v>
      </c>
      <c r="E780">
        <v>973.4</v>
      </c>
      <c r="F780" s="12">
        <v>45691</v>
      </c>
      <c r="G780" s="12">
        <v>45692</v>
      </c>
      <c r="H780" t="s">
        <v>27</v>
      </c>
      <c r="I780" t="s">
        <v>51</v>
      </c>
      <c r="J780">
        <v>4</v>
      </c>
      <c r="K780" t="s">
        <v>19</v>
      </c>
      <c r="L780" t="s">
        <v>33</v>
      </c>
      <c r="M780">
        <v>1</v>
      </c>
      <c r="N780">
        <v>6</v>
      </c>
      <c r="O780" t="s">
        <v>2530</v>
      </c>
    </row>
    <row r="781" spans="1:15">
      <c r="A781" t="s">
        <v>893</v>
      </c>
      <c r="B781" t="s">
        <v>16</v>
      </c>
      <c r="C781">
        <v>18</v>
      </c>
      <c r="D781">
        <v>24.8</v>
      </c>
      <c r="E781">
        <v>446.40000000000003</v>
      </c>
      <c r="F781" s="12">
        <v>45691</v>
      </c>
      <c r="G781" s="12">
        <v>45695</v>
      </c>
      <c r="H781" t="s">
        <v>27</v>
      </c>
      <c r="I781" t="s">
        <v>18</v>
      </c>
      <c r="J781">
        <v>4</v>
      </c>
      <c r="K781" t="s">
        <v>19</v>
      </c>
      <c r="L781" t="s">
        <v>33</v>
      </c>
      <c r="M781">
        <v>4</v>
      </c>
      <c r="N781">
        <v>6</v>
      </c>
      <c r="O781" t="s">
        <v>2530</v>
      </c>
    </row>
    <row r="782" spans="1:15">
      <c r="A782" t="s">
        <v>892</v>
      </c>
      <c r="B782" t="s">
        <v>26</v>
      </c>
      <c r="C782">
        <v>7</v>
      </c>
      <c r="D782">
        <v>102.5</v>
      </c>
      <c r="E782">
        <v>717.5</v>
      </c>
      <c r="F782" s="12">
        <v>45691</v>
      </c>
      <c r="G782" s="12">
        <v>45692</v>
      </c>
      <c r="H782" t="s">
        <v>27</v>
      </c>
      <c r="I782" t="s">
        <v>70</v>
      </c>
      <c r="J782">
        <v>5</v>
      </c>
      <c r="K782" t="s">
        <v>19</v>
      </c>
      <c r="L782" t="s">
        <v>33</v>
      </c>
      <c r="M782">
        <v>1</v>
      </c>
      <c r="N782">
        <v>6</v>
      </c>
      <c r="O782" t="s">
        <v>2530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97"/>
  <sheetViews>
    <sheetView topLeftCell="B4" workbookViewId="0">
      <selection activeCell="E11" sqref="E11"/>
    </sheetView>
  </sheetViews>
  <sheetFormatPr defaultRowHeight="14"/>
  <cols>
    <col min="1" max="1" width="23.33203125" customWidth="1"/>
    <col min="2" max="2" width="14.5" customWidth="1"/>
    <col min="3" max="3" width="14.08203125" customWidth="1"/>
    <col min="4" max="4" width="5.5" customWidth="1"/>
    <col min="5" max="5" width="9" customWidth="1"/>
    <col min="6" max="6" width="10.83203125" customWidth="1"/>
    <col min="7" max="7" width="13.33203125" bestFit="1" customWidth="1"/>
    <col min="8" max="8" width="20.5" customWidth="1"/>
    <col min="9" max="9" width="12.9140625" customWidth="1"/>
    <col min="10" max="10" width="14.5" customWidth="1"/>
    <col min="11" max="11" width="13.33203125" customWidth="1"/>
    <col min="12" max="12" width="12.33203125" customWidth="1"/>
    <col min="13" max="13" width="15.6640625" bestFit="1" customWidth="1"/>
    <col min="14" max="14" width="14" bestFit="1" customWidth="1"/>
    <col min="15" max="15" width="10.83203125" bestFit="1" customWidth="1"/>
    <col min="16" max="16" width="11.4140625" bestFit="1" customWidth="1"/>
    <col min="17" max="17" width="12.25" bestFit="1" customWidth="1"/>
    <col min="18" max="18" width="11.4140625" bestFit="1" customWidth="1"/>
    <col min="19" max="19" width="13.58203125" bestFit="1" customWidth="1"/>
    <col min="20" max="20" width="18" bestFit="1" customWidth="1"/>
    <col min="21" max="21" width="13.58203125" bestFit="1" customWidth="1"/>
    <col min="22" max="22" width="11.9140625" bestFit="1" customWidth="1"/>
    <col min="23" max="23" width="15.08203125" bestFit="1" customWidth="1"/>
    <col min="24" max="24" width="16.6640625" bestFit="1" customWidth="1"/>
    <col min="25" max="25" width="13.58203125" bestFit="1" customWidth="1"/>
    <col min="26" max="26" width="13.08203125" bestFit="1" customWidth="1"/>
    <col min="27" max="27" width="12" bestFit="1" customWidth="1"/>
    <col min="28" max="28" width="15.1640625" bestFit="1" customWidth="1"/>
    <col min="29" max="29" width="11.75" bestFit="1" customWidth="1"/>
    <col min="30" max="30" width="13.9140625" bestFit="1" customWidth="1"/>
    <col min="31" max="31" width="13.6640625" bestFit="1" customWidth="1"/>
    <col min="32" max="32" width="12.6640625" bestFit="1" customWidth="1"/>
    <col min="33" max="33" width="13.75" bestFit="1" customWidth="1"/>
    <col min="34" max="34" width="15.4140625" bestFit="1" customWidth="1"/>
    <col min="35" max="35" width="17.75" bestFit="1" customWidth="1"/>
    <col min="36" max="36" width="16.75" bestFit="1" customWidth="1"/>
    <col min="37" max="37" width="20.75" bestFit="1" customWidth="1"/>
    <col min="38" max="38" width="16.1640625" bestFit="1" customWidth="1"/>
    <col min="39" max="39" width="13" bestFit="1" customWidth="1"/>
    <col min="40" max="40" width="18.08203125" bestFit="1" customWidth="1"/>
    <col min="41" max="41" width="21.58203125" bestFit="1" customWidth="1"/>
    <col min="42" max="42" width="16.33203125" bestFit="1" customWidth="1"/>
    <col min="43" max="43" width="19.6640625" bestFit="1" customWidth="1"/>
    <col min="44" max="44" width="17.33203125" bestFit="1" customWidth="1"/>
    <col min="45" max="45" width="16.9140625" bestFit="1" customWidth="1"/>
    <col min="46" max="46" width="13.33203125" bestFit="1" customWidth="1"/>
    <col min="47" max="47" width="12.33203125" bestFit="1" customWidth="1"/>
    <col min="48" max="48" width="14.58203125" bestFit="1" customWidth="1"/>
    <col min="49" max="49" width="13.33203125" bestFit="1" customWidth="1"/>
    <col min="50" max="50" width="14.5" bestFit="1" customWidth="1"/>
    <col min="51" max="51" width="16.25" bestFit="1" customWidth="1"/>
    <col min="52" max="52" width="12.5" bestFit="1" customWidth="1"/>
    <col min="53" max="53" width="14.33203125" bestFit="1" customWidth="1"/>
    <col min="54" max="54" width="12.6640625" bestFit="1" customWidth="1"/>
    <col min="55" max="55" width="12.83203125" bestFit="1" customWidth="1"/>
    <col min="56" max="56" width="16" bestFit="1" customWidth="1"/>
    <col min="57" max="57" width="14.08203125" bestFit="1" customWidth="1"/>
    <col min="58" max="58" width="11.1640625" bestFit="1" customWidth="1"/>
    <col min="59" max="59" width="11.75" bestFit="1" customWidth="1"/>
    <col min="60" max="60" width="14.75" bestFit="1" customWidth="1"/>
    <col min="61" max="61" width="12.58203125" bestFit="1" customWidth="1"/>
    <col min="62" max="62" width="14.08203125" bestFit="1" customWidth="1"/>
    <col min="63" max="63" width="11.9140625" bestFit="1" customWidth="1"/>
    <col min="64" max="64" width="15.9140625" bestFit="1" customWidth="1"/>
    <col min="65" max="65" width="13.33203125" bestFit="1" customWidth="1"/>
    <col min="66" max="66" width="18.75" bestFit="1" customWidth="1"/>
    <col min="67" max="67" width="15.33203125" bestFit="1" customWidth="1"/>
    <col min="68" max="68" width="15.83203125" bestFit="1" customWidth="1"/>
    <col min="69" max="69" width="13.33203125" bestFit="1" customWidth="1"/>
    <col min="70" max="70" width="12.33203125" bestFit="1" customWidth="1"/>
    <col min="71" max="71" width="15.6640625" bestFit="1" customWidth="1"/>
    <col min="72" max="72" width="14" bestFit="1" customWidth="1"/>
    <col min="73" max="73" width="10.83203125" bestFit="1" customWidth="1"/>
    <col min="74" max="74" width="11.4140625" bestFit="1" customWidth="1"/>
    <col min="75" max="75" width="12.25" bestFit="1" customWidth="1"/>
    <col min="76" max="76" width="11.4140625" bestFit="1" customWidth="1"/>
    <col min="77" max="77" width="13.58203125" bestFit="1" customWidth="1"/>
    <col min="78" max="78" width="18" bestFit="1" customWidth="1"/>
    <col min="79" max="79" width="13.58203125" bestFit="1" customWidth="1"/>
    <col min="80" max="80" width="11.9140625" bestFit="1" customWidth="1"/>
    <col min="81" max="81" width="15.08203125" bestFit="1" customWidth="1"/>
    <col min="82" max="82" width="16.6640625" bestFit="1" customWidth="1"/>
    <col min="83" max="83" width="13.58203125" bestFit="1" customWidth="1"/>
    <col min="84" max="84" width="13.08203125" bestFit="1" customWidth="1"/>
    <col min="85" max="85" width="12" bestFit="1" customWidth="1"/>
    <col min="86" max="86" width="15.1640625" bestFit="1" customWidth="1"/>
    <col min="87" max="87" width="11.75" bestFit="1" customWidth="1"/>
    <col min="88" max="88" width="13.9140625" bestFit="1" customWidth="1"/>
    <col min="89" max="89" width="13.6640625" bestFit="1" customWidth="1"/>
    <col min="90" max="90" width="12.6640625" bestFit="1" customWidth="1"/>
    <col min="91" max="91" width="13.75" bestFit="1" customWidth="1"/>
    <col min="92" max="92" width="15.4140625" bestFit="1" customWidth="1"/>
    <col min="93" max="93" width="17.75" bestFit="1" customWidth="1"/>
    <col min="94" max="94" width="16.75" bestFit="1" customWidth="1"/>
    <col min="95" max="95" width="20.75" bestFit="1" customWidth="1"/>
    <col min="96" max="96" width="16.1640625" bestFit="1" customWidth="1"/>
    <col min="97" max="97" width="13" bestFit="1" customWidth="1"/>
    <col min="98" max="98" width="18.08203125" bestFit="1" customWidth="1"/>
    <col min="99" max="99" width="21.58203125" bestFit="1" customWidth="1"/>
    <col min="100" max="100" width="16.33203125" bestFit="1" customWidth="1"/>
    <col min="101" max="101" width="19.6640625" bestFit="1" customWidth="1"/>
    <col min="102" max="102" width="17.33203125" bestFit="1" customWidth="1"/>
    <col min="103" max="103" width="16.9140625" bestFit="1" customWidth="1"/>
    <col min="104" max="104" width="13.33203125" bestFit="1" customWidth="1"/>
    <col min="105" max="105" width="12.33203125" bestFit="1" customWidth="1"/>
    <col min="106" max="106" width="14.58203125" bestFit="1" customWidth="1"/>
    <col min="107" max="107" width="13.33203125" bestFit="1" customWidth="1"/>
    <col min="108" max="108" width="14.5" bestFit="1" customWidth="1"/>
    <col min="109" max="109" width="16.25" bestFit="1" customWidth="1"/>
    <col min="110" max="110" width="12.5" bestFit="1" customWidth="1"/>
    <col min="111" max="111" width="14.33203125" bestFit="1" customWidth="1"/>
    <col min="112" max="112" width="12.6640625" bestFit="1" customWidth="1"/>
    <col min="113" max="113" width="12.83203125" bestFit="1" customWidth="1"/>
    <col min="114" max="114" width="16" bestFit="1" customWidth="1"/>
    <col min="115" max="115" width="14.08203125" bestFit="1" customWidth="1"/>
    <col min="116" max="116" width="11.1640625" bestFit="1" customWidth="1"/>
    <col min="117" max="117" width="11.75" bestFit="1" customWidth="1"/>
    <col min="118" max="118" width="19.4140625" bestFit="1" customWidth="1"/>
    <col min="119" max="119" width="19" bestFit="1" customWidth="1"/>
  </cols>
  <sheetData>
    <row r="3" spans="1:10">
      <c r="A3" s="6" t="s">
        <v>2519</v>
      </c>
      <c r="B3" s="6" t="s">
        <v>2529</v>
      </c>
    </row>
    <row r="4" spans="1:10">
      <c r="A4" s="6" t="s">
        <v>2527</v>
      </c>
      <c r="B4" t="s">
        <v>2530</v>
      </c>
      <c r="C4" t="s">
        <v>2531</v>
      </c>
      <c r="D4" t="s">
        <v>2532</v>
      </c>
      <c r="E4" t="s">
        <v>2533</v>
      </c>
      <c r="F4" t="s">
        <v>2528</v>
      </c>
    </row>
    <row r="5" spans="1:10">
      <c r="A5" s="7" t="s">
        <v>81</v>
      </c>
      <c r="B5" s="5">
        <v>11</v>
      </c>
      <c r="C5" s="5">
        <v>32</v>
      </c>
      <c r="D5" s="5">
        <v>8</v>
      </c>
      <c r="E5" s="5">
        <v>6</v>
      </c>
      <c r="F5" s="5">
        <v>57</v>
      </c>
    </row>
    <row r="6" spans="1:10">
      <c r="A6" s="7" t="s">
        <v>54</v>
      </c>
      <c r="B6" s="5">
        <v>152</v>
      </c>
      <c r="C6" s="5">
        <v>101</v>
      </c>
      <c r="D6" s="5"/>
      <c r="E6" s="5">
        <v>1</v>
      </c>
      <c r="F6" s="5">
        <v>254</v>
      </c>
      <c r="I6" s="6" t="s">
        <v>2527</v>
      </c>
      <c r="J6" t="s">
        <v>2519</v>
      </c>
    </row>
    <row r="7" spans="1:10">
      <c r="A7" s="7" t="s">
        <v>69</v>
      </c>
      <c r="B7" s="5">
        <v>84</v>
      </c>
      <c r="C7" s="5">
        <v>45</v>
      </c>
      <c r="D7" s="5">
        <v>6</v>
      </c>
      <c r="E7" s="5">
        <v>6</v>
      </c>
      <c r="F7" s="5">
        <v>141</v>
      </c>
      <c r="I7" s="7" t="s">
        <v>2533</v>
      </c>
      <c r="J7" s="5">
        <v>261</v>
      </c>
    </row>
    <row r="8" spans="1:10">
      <c r="A8" s="7" t="s">
        <v>123</v>
      </c>
      <c r="B8" s="5">
        <v>61</v>
      </c>
      <c r="C8" s="5">
        <v>176</v>
      </c>
      <c r="D8" s="5">
        <v>15</v>
      </c>
      <c r="E8" s="5">
        <v>1</v>
      </c>
      <c r="F8" s="5">
        <v>253</v>
      </c>
      <c r="I8" s="7" t="s">
        <v>2528</v>
      </c>
      <c r="J8" s="5">
        <v>261</v>
      </c>
    </row>
    <row r="9" spans="1:10">
      <c r="A9" s="7" t="s">
        <v>32</v>
      </c>
      <c r="B9" s="5">
        <v>152</v>
      </c>
      <c r="C9" s="5">
        <v>60</v>
      </c>
      <c r="D9" s="5">
        <v>8</v>
      </c>
      <c r="E9" s="5">
        <v>3</v>
      </c>
      <c r="F9" s="5">
        <v>223</v>
      </c>
    </row>
    <row r="10" spans="1:10">
      <c r="A10" s="7" t="s">
        <v>42</v>
      </c>
      <c r="B10" s="5">
        <v>96</v>
      </c>
      <c r="C10" s="5">
        <v>151</v>
      </c>
      <c r="D10" s="5"/>
      <c r="E10" s="5"/>
      <c r="F10" s="5">
        <v>247</v>
      </c>
    </row>
    <row r="11" spans="1:10">
      <c r="A11" s="7" t="s">
        <v>39</v>
      </c>
      <c r="B11" s="5">
        <v>318</v>
      </c>
      <c r="C11" s="5">
        <v>149</v>
      </c>
      <c r="D11" s="5">
        <v>10</v>
      </c>
      <c r="E11" s="5">
        <v>69</v>
      </c>
      <c r="F11" s="5">
        <v>546</v>
      </c>
    </row>
    <row r="12" spans="1:10">
      <c r="A12" s="7" t="s">
        <v>171</v>
      </c>
      <c r="B12" s="5">
        <v>3</v>
      </c>
      <c r="C12" s="5"/>
      <c r="D12" s="5">
        <v>2</v>
      </c>
      <c r="E12" s="5"/>
      <c r="F12" s="5">
        <v>5</v>
      </c>
    </row>
    <row r="13" spans="1:10">
      <c r="A13" s="7" t="s">
        <v>146</v>
      </c>
      <c r="B13" s="5">
        <v>72</v>
      </c>
      <c r="C13" s="5">
        <v>61</v>
      </c>
      <c r="D13" s="5"/>
      <c r="E13" s="5">
        <v>6</v>
      </c>
      <c r="F13" s="5">
        <v>139</v>
      </c>
    </row>
    <row r="14" spans="1:10">
      <c r="A14" s="7" t="s">
        <v>67</v>
      </c>
      <c r="B14" s="5">
        <v>37</v>
      </c>
      <c r="C14" s="5">
        <v>30</v>
      </c>
      <c r="D14" s="5">
        <v>3</v>
      </c>
      <c r="E14" s="5"/>
      <c r="F14" s="5">
        <v>70</v>
      </c>
    </row>
    <row r="15" spans="1:10">
      <c r="A15" s="7" t="s">
        <v>135</v>
      </c>
      <c r="B15" s="5">
        <v>17</v>
      </c>
      <c r="C15" s="5"/>
      <c r="D15" s="5"/>
      <c r="E15" s="5">
        <v>12</v>
      </c>
      <c r="F15" s="5">
        <v>29</v>
      </c>
    </row>
    <row r="16" spans="1:10">
      <c r="A16" s="7" t="s">
        <v>37</v>
      </c>
      <c r="B16" s="5">
        <v>116</v>
      </c>
      <c r="C16" s="5">
        <v>73</v>
      </c>
      <c r="D16" s="5"/>
      <c r="E16" s="5">
        <v>3</v>
      </c>
      <c r="F16" s="5">
        <v>192</v>
      </c>
    </row>
    <row r="17" spans="1:6">
      <c r="A17" s="7" t="s">
        <v>16</v>
      </c>
      <c r="B17" s="5">
        <v>163</v>
      </c>
      <c r="C17" s="5">
        <v>140</v>
      </c>
      <c r="D17" s="5"/>
      <c r="E17" s="5">
        <v>12</v>
      </c>
      <c r="F17" s="5">
        <v>315</v>
      </c>
    </row>
    <row r="18" spans="1:6">
      <c r="A18" s="7" t="s">
        <v>26</v>
      </c>
      <c r="B18" s="5">
        <v>266</v>
      </c>
      <c r="C18" s="5">
        <v>131</v>
      </c>
      <c r="D18" s="5">
        <v>13</v>
      </c>
      <c r="E18" s="5">
        <v>84</v>
      </c>
      <c r="F18" s="5">
        <v>494</v>
      </c>
    </row>
    <row r="19" spans="1:6">
      <c r="A19" s="7" t="s">
        <v>46</v>
      </c>
      <c r="B19" s="5">
        <v>164</v>
      </c>
      <c r="C19" s="5">
        <v>63</v>
      </c>
      <c r="D19" s="5">
        <v>7</v>
      </c>
      <c r="E19" s="5">
        <v>8</v>
      </c>
      <c r="F19" s="5">
        <v>242</v>
      </c>
    </row>
    <row r="20" spans="1:6">
      <c r="A20" s="7" t="s">
        <v>128</v>
      </c>
      <c r="B20" s="5">
        <v>35</v>
      </c>
      <c r="C20" s="5">
        <v>29</v>
      </c>
      <c r="D20" s="5"/>
      <c r="E20" s="5"/>
      <c r="F20" s="5">
        <v>64</v>
      </c>
    </row>
    <row r="21" spans="1:6">
      <c r="A21" s="7" t="s">
        <v>22</v>
      </c>
      <c r="B21" s="5">
        <v>192</v>
      </c>
      <c r="C21" s="5">
        <v>76</v>
      </c>
      <c r="D21" s="5">
        <v>7</v>
      </c>
      <c r="E21" s="5">
        <v>4</v>
      </c>
      <c r="F21" s="5">
        <v>279</v>
      </c>
    </row>
    <row r="22" spans="1:6">
      <c r="A22" s="7" t="s">
        <v>76</v>
      </c>
      <c r="B22" s="5">
        <v>22</v>
      </c>
      <c r="C22" s="5">
        <v>39</v>
      </c>
      <c r="D22" s="5">
        <v>4</v>
      </c>
      <c r="E22" s="5"/>
      <c r="F22" s="5">
        <v>65</v>
      </c>
    </row>
    <row r="23" spans="1:6">
      <c r="A23" s="7" t="s">
        <v>44</v>
      </c>
      <c r="B23" s="5">
        <v>240</v>
      </c>
      <c r="C23" s="5">
        <v>203</v>
      </c>
      <c r="D23" s="5">
        <v>27</v>
      </c>
      <c r="E23" s="5">
        <v>32</v>
      </c>
      <c r="F23" s="5">
        <v>502</v>
      </c>
    </row>
    <row r="24" spans="1:6">
      <c r="A24" s="7" t="s">
        <v>30</v>
      </c>
      <c r="B24" s="5">
        <v>39</v>
      </c>
      <c r="C24" s="5">
        <v>46</v>
      </c>
      <c r="D24" s="5">
        <v>4</v>
      </c>
      <c r="E24" s="5">
        <v>14</v>
      </c>
      <c r="F24" s="5">
        <v>103</v>
      </c>
    </row>
    <row r="25" spans="1:6">
      <c r="A25" s="7" t="s">
        <v>2528</v>
      </c>
      <c r="B25" s="5">
        <v>2240</v>
      </c>
      <c r="C25" s="5">
        <v>1605</v>
      </c>
      <c r="D25" s="5">
        <v>114</v>
      </c>
      <c r="E25" s="5">
        <v>261</v>
      </c>
      <c r="F25" s="5">
        <v>4220</v>
      </c>
    </row>
    <row r="37" spans="1:9">
      <c r="E37" t="str">
        <f>A38</f>
        <v>Row Labels</v>
      </c>
      <c r="F37" t="str">
        <f>B38</f>
        <v>Sum of Quantity</v>
      </c>
      <c r="H37" t="str">
        <f>A38</f>
        <v>Row Labels</v>
      </c>
      <c r="I37" t="str">
        <f>C38</f>
        <v>Sum of Amount</v>
      </c>
    </row>
    <row r="38" spans="1:9">
      <c r="A38" s="6" t="s">
        <v>2527</v>
      </c>
      <c r="B38" t="s">
        <v>2519</v>
      </c>
      <c r="C38" t="s">
        <v>2520</v>
      </c>
      <c r="E38" t="str">
        <f>A39</f>
        <v>California</v>
      </c>
      <c r="F38">
        <f>B39</f>
        <v>261</v>
      </c>
      <c r="H38" t="str">
        <f t="shared" ref="H38:H97" si="0">A39</f>
        <v>California</v>
      </c>
      <c r="I38">
        <f t="shared" ref="I38:I97" si="1">C39</f>
        <v>19859.500000000004</v>
      </c>
    </row>
    <row r="39" spans="1:9">
      <c r="A39" s="7" t="s">
        <v>19</v>
      </c>
      <c r="B39" s="5">
        <v>261</v>
      </c>
      <c r="C39" s="5">
        <v>19859.500000000004</v>
      </c>
      <c r="E39" t="str">
        <f t="shared" ref="E39:E70" si="2">A40</f>
        <v>Alameda County</v>
      </c>
      <c r="F39">
        <f t="shared" ref="F39:F97" si="3">B40</f>
        <v>12</v>
      </c>
      <c r="H39" t="str">
        <f t="shared" si="0"/>
        <v>Alameda County</v>
      </c>
      <c r="I39">
        <f t="shared" si="1"/>
        <v>728.59999999999991</v>
      </c>
    </row>
    <row r="40" spans="1:9">
      <c r="A40" s="4" t="s">
        <v>115</v>
      </c>
      <c r="B40" s="5">
        <v>12</v>
      </c>
      <c r="C40" s="5">
        <v>728.59999999999991</v>
      </c>
      <c r="E40" t="str">
        <f t="shared" si="2"/>
        <v>Alpine County</v>
      </c>
      <c r="F40">
        <f t="shared" si="3"/>
        <v>1</v>
      </c>
      <c r="H40" t="str">
        <f t="shared" si="0"/>
        <v>Alpine County</v>
      </c>
      <c r="I40">
        <f t="shared" si="1"/>
        <v>10.9</v>
      </c>
    </row>
    <row r="41" spans="1:9">
      <c r="A41" s="4" t="s">
        <v>20</v>
      </c>
      <c r="B41" s="5">
        <v>1</v>
      </c>
      <c r="C41" s="5">
        <v>10.9</v>
      </c>
      <c r="E41" t="str">
        <f t="shared" si="2"/>
        <v>Contra Costa County</v>
      </c>
      <c r="F41">
        <f t="shared" si="3"/>
        <v>1</v>
      </c>
      <c r="H41" t="str">
        <f t="shared" si="0"/>
        <v>Contra Costa County</v>
      </c>
      <c r="I41">
        <f t="shared" si="1"/>
        <v>64.7</v>
      </c>
    </row>
    <row r="42" spans="1:9">
      <c r="A42" s="4" t="s">
        <v>24</v>
      </c>
      <c r="B42" s="5">
        <v>1</v>
      </c>
      <c r="C42" s="5">
        <v>64.7</v>
      </c>
      <c r="E42" t="str">
        <f t="shared" si="2"/>
        <v>Los Angeles County</v>
      </c>
      <c r="F42">
        <f t="shared" si="3"/>
        <v>82</v>
      </c>
      <c r="H42" t="str">
        <f t="shared" si="0"/>
        <v>Los Angeles County</v>
      </c>
      <c r="I42">
        <f t="shared" si="1"/>
        <v>5772.5000000000009</v>
      </c>
    </row>
    <row r="43" spans="1:9">
      <c r="A43" s="4" t="s">
        <v>33</v>
      </c>
      <c r="B43" s="5">
        <v>82</v>
      </c>
      <c r="C43" s="5">
        <v>5772.5000000000009</v>
      </c>
      <c r="E43" t="str">
        <f t="shared" si="2"/>
        <v>Riverside County</v>
      </c>
      <c r="F43">
        <f t="shared" si="3"/>
        <v>5</v>
      </c>
      <c r="H43" t="str">
        <f t="shared" si="0"/>
        <v>Riverside County</v>
      </c>
      <c r="I43">
        <f t="shared" si="1"/>
        <v>273.5</v>
      </c>
    </row>
    <row r="44" spans="1:9">
      <c r="A44" s="4" t="s">
        <v>158</v>
      </c>
      <c r="B44" s="5">
        <v>5</v>
      </c>
      <c r="C44" s="5">
        <v>273.5</v>
      </c>
      <c r="E44" t="str">
        <f t="shared" si="2"/>
        <v>Sacramento County</v>
      </c>
      <c r="F44">
        <f t="shared" si="3"/>
        <v>15</v>
      </c>
      <c r="H44" t="str">
        <f t="shared" si="0"/>
        <v>Sacramento County</v>
      </c>
      <c r="I44">
        <f t="shared" si="1"/>
        <v>945.4</v>
      </c>
    </row>
    <row r="45" spans="1:9">
      <c r="A45" s="4" t="s">
        <v>55</v>
      </c>
      <c r="B45" s="5">
        <v>15</v>
      </c>
      <c r="C45" s="5">
        <v>945.4</v>
      </c>
      <c r="E45" t="str">
        <f t="shared" si="2"/>
        <v>San Bernardino County</v>
      </c>
      <c r="F45">
        <f t="shared" si="3"/>
        <v>4</v>
      </c>
      <c r="H45" t="str">
        <f t="shared" si="0"/>
        <v>San Bernardino County</v>
      </c>
      <c r="I45">
        <f t="shared" si="1"/>
        <v>310.60000000000002</v>
      </c>
    </row>
    <row r="46" spans="1:9">
      <c r="A46" s="4" t="s">
        <v>59</v>
      </c>
      <c r="B46" s="5">
        <v>4</v>
      </c>
      <c r="C46" s="5">
        <v>310.60000000000002</v>
      </c>
      <c r="E46" t="str">
        <f t="shared" si="2"/>
        <v>San Diego County</v>
      </c>
      <c r="F46">
        <f t="shared" si="3"/>
        <v>33</v>
      </c>
      <c r="H46" t="str">
        <f t="shared" si="0"/>
        <v>San Diego County</v>
      </c>
      <c r="I46">
        <f t="shared" si="1"/>
        <v>1656.5</v>
      </c>
    </row>
    <row r="47" spans="1:9">
      <c r="A47" s="4" t="s">
        <v>62</v>
      </c>
      <c r="B47" s="5">
        <v>33</v>
      </c>
      <c r="C47" s="5">
        <v>1656.5</v>
      </c>
      <c r="E47" t="str">
        <f t="shared" si="2"/>
        <v>San Francisco</v>
      </c>
      <c r="F47">
        <f t="shared" si="3"/>
        <v>63</v>
      </c>
      <c r="H47" t="str">
        <f t="shared" si="0"/>
        <v>San Francisco</v>
      </c>
      <c r="I47">
        <f t="shared" si="1"/>
        <v>7446.6</v>
      </c>
    </row>
    <row r="48" spans="1:9">
      <c r="A48" s="4" t="s">
        <v>103</v>
      </c>
      <c r="B48" s="5">
        <v>63</v>
      </c>
      <c r="C48" s="5">
        <v>7446.6</v>
      </c>
      <c r="E48" t="str">
        <f t="shared" si="2"/>
        <v>Santa Barbara County</v>
      </c>
      <c r="F48">
        <f t="shared" si="3"/>
        <v>8</v>
      </c>
      <c r="H48" t="str">
        <f t="shared" si="0"/>
        <v>Santa Barbara County</v>
      </c>
      <c r="I48">
        <f t="shared" si="1"/>
        <v>215.79999999999998</v>
      </c>
    </row>
    <row r="49" spans="1:9">
      <c r="A49" s="4" t="s">
        <v>74</v>
      </c>
      <c r="B49" s="5">
        <v>8</v>
      </c>
      <c r="C49" s="5">
        <v>215.79999999999998</v>
      </c>
      <c r="E49" t="str">
        <f t="shared" si="2"/>
        <v>Santa Clara County</v>
      </c>
      <c r="F49">
        <f t="shared" si="3"/>
        <v>22</v>
      </c>
      <c r="H49" t="str">
        <f t="shared" si="0"/>
        <v>Santa Clara County</v>
      </c>
      <c r="I49">
        <f t="shared" si="1"/>
        <v>1541.4</v>
      </c>
    </row>
    <row r="50" spans="1:9">
      <c r="A50" s="4" t="s">
        <v>77</v>
      </c>
      <c r="B50" s="5">
        <v>22</v>
      </c>
      <c r="C50" s="5">
        <v>1541.4</v>
      </c>
      <c r="E50" t="str">
        <f t="shared" si="2"/>
        <v>Shasta County</v>
      </c>
      <c r="F50">
        <f t="shared" si="3"/>
        <v>13</v>
      </c>
      <c r="H50" t="str">
        <f t="shared" si="0"/>
        <v>Shasta County</v>
      </c>
      <c r="I50">
        <f t="shared" si="1"/>
        <v>751.4</v>
      </c>
    </row>
    <row r="51" spans="1:9">
      <c r="A51" s="4" t="s">
        <v>1116</v>
      </c>
      <c r="B51" s="5">
        <v>13</v>
      </c>
      <c r="C51" s="5">
        <v>751.4</v>
      </c>
      <c r="E51" t="str">
        <f t="shared" si="2"/>
        <v>Yolo County</v>
      </c>
      <c r="F51">
        <f t="shared" si="3"/>
        <v>2</v>
      </c>
      <c r="H51" t="str">
        <f t="shared" si="0"/>
        <v>Yolo County</v>
      </c>
      <c r="I51">
        <f t="shared" si="1"/>
        <v>141.6</v>
      </c>
    </row>
    <row r="52" spans="1:9">
      <c r="A52" s="4" t="s">
        <v>243</v>
      </c>
      <c r="B52" s="5">
        <v>2</v>
      </c>
      <c r="C52" s="5">
        <v>141.6</v>
      </c>
      <c r="E52" t="str">
        <f t="shared" si="2"/>
        <v>Grand Total</v>
      </c>
      <c r="F52">
        <f t="shared" si="3"/>
        <v>261</v>
      </c>
      <c r="H52" t="str">
        <f t="shared" si="0"/>
        <v>Grand Total</v>
      </c>
      <c r="I52">
        <f t="shared" si="1"/>
        <v>19859.500000000004</v>
      </c>
    </row>
    <row r="53" spans="1:9">
      <c r="A53" s="7" t="s">
        <v>2528</v>
      </c>
      <c r="B53" s="5">
        <v>261</v>
      </c>
      <c r="C53" s="5">
        <v>19859.500000000004</v>
      </c>
      <c r="E53">
        <f t="shared" si="2"/>
        <v>0</v>
      </c>
      <c r="F53">
        <f t="shared" si="3"/>
        <v>0</v>
      </c>
      <c r="H53">
        <f t="shared" si="0"/>
        <v>0</v>
      </c>
      <c r="I53">
        <f t="shared" si="1"/>
        <v>0</v>
      </c>
    </row>
    <row r="54" spans="1:9">
      <c r="E54">
        <f t="shared" si="2"/>
        <v>0</v>
      </c>
      <c r="F54">
        <f t="shared" si="3"/>
        <v>0</v>
      </c>
      <c r="H54">
        <f t="shared" si="0"/>
        <v>0</v>
      </c>
      <c r="I54">
        <f t="shared" si="1"/>
        <v>0</v>
      </c>
    </row>
    <row r="55" spans="1:9">
      <c r="E55">
        <f t="shared" si="2"/>
        <v>0</v>
      </c>
      <c r="F55">
        <f t="shared" si="3"/>
        <v>0</v>
      </c>
      <c r="H55">
        <f t="shared" si="0"/>
        <v>0</v>
      </c>
      <c r="I55">
        <f t="shared" si="1"/>
        <v>0</v>
      </c>
    </row>
    <row r="56" spans="1:9">
      <c r="E56">
        <f t="shared" si="2"/>
        <v>0</v>
      </c>
      <c r="F56">
        <f t="shared" si="3"/>
        <v>0</v>
      </c>
      <c r="H56">
        <f t="shared" si="0"/>
        <v>0</v>
      </c>
      <c r="I56">
        <f t="shared" si="1"/>
        <v>0</v>
      </c>
    </row>
    <row r="57" spans="1:9">
      <c r="E57">
        <f t="shared" si="2"/>
        <v>0</v>
      </c>
      <c r="F57">
        <f t="shared" si="3"/>
        <v>0</v>
      </c>
      <c r="H57">
        <f t="shared" si="0"/>
        <v>0</v>
      </c>
      <c r="I57">
        <f t="shared" si="1"/>
        <v>0</v>
      </c>
    </row>
    <row r="58" spans="1:9">
      <c r="E58">
        <f t="shared" si="2"/>
        <v>0</v>
      </c>
      <c r="F58">
        <f t="shared" si="3"/>
        <v>0</v>
      </c>
      <c r="H58">
        <f t="shared" si="0"/>
        <v>0</v>
      </c>
      <c r="I58">
        <f t="shared" si="1"/>
        <v>0</v>
      </c>
    </row>
    <row r="59" spans="1:9">
      <c r="E59">
        <f t="shared" si="2"/>
        <v>0</v>
      </c>
      <c r="F59">
        <f t="shared" si="3"/>
        <v>0</v>
      </c>
      <c r="H59">
        <f t="shared" si="0"/>
        <v>0</v>
      </c>
      <c r="I59">
        <f t="shared" si="1"/>
        <v>0</v>
      </c>
    </row>
    <row r="60" spans="1:9">
      <c r="E60">
        <f t="shared" si="2"/>
        <v>0</v>
      </c>
      <c r="F60">
        <f t="shared" si="3"/>
        <v>0</v>
      </c>
      <c r="H60">
        <f t="shared" si="0"/>
        <v>0</v>
      </c>
      <c r="I60">
        <f t="shared" si="1"/>
        <v>0</v>
      </c>
    </row>
    <row r="61" spans="1:9">
      <c r="E61">
        <f t="shared" si="2"/>
        <v>0</v>
      </c>
      <c r="F61">
        <f t="shared" si="3"/>
        <v>0</v>
      </c>
      <c r="H61">
        <f t="shared" si="0"/>
        <v>0</v>
      </c>
      <c r="I61">
        <f t="shared" si="1"/>
        <v>0</v>
      </c>
    </row>
    <row r="62" spans="1:9">
      <c r="E62">
        <f t="shared" si="2"/>
        <v>0</v>
      </c>
      <c r="F62">
        <f t="shared" si="3"/>
        <v>0</v>
      </c>
      <c r="H62">
        <f t="shared" si="0"/>
        <v>0</v>
      </c>
      <c r="I62">
        <f t="shared" si="1"/>
        <v>0</v>
      </c>
    </row>
    <row r="63" spans="1:9">
      <c r="E63">
        <f t="shared" si="2"/>
        <v>0</v>
      </c>
      <c r="F63">
        <f t="shared" si="3"/>
        <v>0</v>
      </c>
      <c r="H63">
        <f t="shared" si="0"/>
        <v>0</v>
      </c>
      <c r="I63">
        <f t="shared" si="1"/>
        <v>0</v>
      </c>
    </row>
    <row r="64" spans="1:9">
      <c r="E64">
        <f t="shared" si="2"/>
        <v>0</v>
      </c>
      <c r="F64">
        <f t="shared" si="3"/>
        <v>0</v>
      </c>
      <c r="H64">
        <f t="shared" si="0"/>
        <v>0</v>
      </c>
      <c r="I64">
        <f t="shared" si="1"/>
        <v>0</v>
      </c>
    </row>
    <row r="65" spans="5:9">
      <c r="E65">
        <f t="shared" si="2"/>
        <v>0</v>
      </c>
      <c r="F65">
        <f t="shared" si="3"/>
        <v>0</v>
      </c>
      <c r="H65">
        <f t="shared" si="0"/>
        <v>0</v>
      </c>
      <c r="I65">
        <f t="shared" si="1"/>
        <v>0</v>
      </c>
    </row>
    <row r="66" spans="5:9">
      <c r="E66">
        <f t="shared" si="2"/>
        <v>0</v>
      </c>
      <c r="F66">
        <f t="shared" si="3"/>
        <v>0</v>
      </c>
      <c r="H66">
        <f t="shared" si="0"/>
        <v>0</v>
      </c>
      <c r="I66">
        <f t="shared" si="1"/>
        <v>0</v>
      </c>
    </row>
    <row r="67" spans="5:9">
      <c r="E67">
        <f t="shared" si="2"/>
        <v>0</v>
      </c>
      <c r="F67">
        <f t="shared" si="3"/>
        <v>0</v>
      </c>
      <c r="H67">
        <f t="shared" si="0"/>
        <v>0</v>
      </c>
      <c r="I67">
        <f t="shared" si="1"/>
        <v>0</v>
      </c>
    </row>
    <row r="68" spans="5:9">
      <c r="E68">
        <f t="shared" si="2"/>
        <v>0</v>
      </c>
      <c r="F68">
        <f t="shared" si="3"/>
        <v>0</v>
      </c>
      <c r="H68">
        <f t="shared" si="0"/>
        <v>0</v>
      </c>
      <c r="I68">
        <f t="shared" si="1"/>
        <v>0</v>
      </c>
    </row>
    <row r="69" spans="5:9">
      <c r="E69">
        <f t="shared" si="2"/>
        <v>0</v>
      </c>
      <c r="F69">
        <f t="shared" si="3"/>
        <v>0</v>
      </c>
      <c r="H69">
        <f t="shared" si="0"/>
        <v>0</v>
      </c>
      <c r="I69">
        <f t="shared" si="1"/>
        <v>0</v>
      </c>
    </row>
    <row r="70" spans="5:9">
      <c r="E70">
        <f t="shared" si="2"/>
        <v>0</v>
      </c>
      <c r="F70">
        <f t="shared" si="3"/>
        <v>0</v>
      </c>
      <c r="H70">
        <f t="shared" si="0"/>
        <v>0</v>
      </c>
      <c r="I70">
        <f t="shared" si="1"/>
        <v>0</v>
      </c>
    </row>
    <row r="71" spans="5:9">
      <c r="E71">
        <f t="shared" ref="E71:E97" si="4">A72</f>
        <v>0</v>
      </c>
      <c r="F71">
        <f t="shared" si="3"/>
        <v>0</v>
      </c>
      <c r="H71">
        <f t="shared" si="0"/>
        <v>0</v>
      </c>
      <c r="I71">
        <f t="shared" si="1"/>
        <v>0</v>
      </c>
    </row>
    <row r="72" spans="5:9">
      <c r="E72">
        <f t="shared" si="4"/>
        <v>0</v>
      </c>
      <c r="F72">
        <f t="shared" si="3"/>
        <v>0</v>
      </c>
      <c r="H72">
        <f t="shared" si="0"/>
        <v>0</v>
      </c>
      <c r="I72">
        <f t="shared" si="1"/>
        <v>0</v>
      </c>
    </row>
    <row r="73" spans="5:9">
      <c r="E73">
        <f t="shared" si="4"/>
        <v>0</v>
      </c>
      <c r="F73">
        <f t="shared" si="3"/>
        <v>0</v>
      </c>
      <c r="H73">
        <f t="shared" si="0"/>
        <v>0</v>
      </c>
      <c r="I73">
        <f t="shared" si="1"/>
        <v>0</v>
      </c>
    </row>
    <row r="74" spans="5:9">
      <c r="E74">
        <f t="shared" si="4"/>
        <v>0</v>
      </c>
      <c r="F74">
        <f t="shared" si="3"/>
        <v>0</v>
      </c>
      <c r="H74">
        <f t="shared" si="0"/>
        <v>0</v>
      </c>
      <c r="I74">
        <f t="shared" si="1"/>
        <v>0</v>
      </c>
    </row>
    <row r="75" spans="5:9">
      <c r="E75">
        <f t="shared" si="4"/>
        <v>0</v>
      </c>
      <c r="F75">
        <f t="shared" si="3"/>
        <v>0</v>
      </c>
      <c r="H75">
        <f t="shared" si="0"/>
        <v>0</v>
      </c>
      <c r="I75">
        <f t="shared" si="1"/>
        <v>0</v>
      </c>
    </row>
    <row r="76" spans="5:9">
      <c r="E76">
        <f t="shared" si="4"/>
        <v>0</v>
      </c>
      <c r="F76">
        <f t="shared" si="3"/>
        <v>0</v>
      </c>
      <c r="H76">
        <f t="shared" si="0"/>
        <v>0</v>
      </c>
      <c r="I76">
        <f t="shared" si="1"/>
        <v>0</v>
      </c>
    </row>
    <row r="77" spans="5:9">
      <c r="E77">
        <f t="shared" si="4"/>
        <v>0</v>
      </c>
      <c r="F77">
        <f t="shared" si="3"/>
        <v>0</v>
      </c>
      <c r="H77">
        <f t="shared" si="0"/>
        <v>0</v>
      </c>
      <c r="I77">
        <f t="shared" si="1"/>
        <v>0</v>
      </c>
    </row>
    <row r="78" spans="5:9">
      <c r="E78">
        <f t="shared" si="4"/>
        <v>0</v>
      </c>
      <c r="F78">
        <f t="shared" si="3"/>
        <v>0</v>
      </c>
      <c r="H78">
        <f t="shared" si="0"/>
        <v>0</v>
      </c>
      <c r="I78">
        <f t="shared" si="1"/>
        <v>0</v>
      </c>
    </row>
    <row r="79" spans="5:9">
      <c r="E79">
        <f t="shared" si="4"/>
        <v>0</v>
      </c>
      <c r="F79">
        <f t="shared" si="3"/>
        <v>0</v>
      </c>
      <c r="H79">
        <f t="shared" si="0"/>
        <v>0</v>
      </c>
      <c r="I79">
        <f t="shared" si="1"/>
        <v>0</v>
      </c>
    </row>
    <row r="80" spans="5:9">
      <c r="E80">
        <f t="shared" si="4"/>
        <v>0</v>
      </c>
      <c r="F80">
        <f t="shared" si="3"/>
        <v>0</v>
      </c>
      <c r="H80">
        <f t="shared" si="0"/>
        <v>0</v>
      </c>
      <c r="I80">
        <f t="shared" si="1"/>
        <v>0</v>
      </c>
    </row>
    <row r="81" spans="5:9">
      <c r="E81">
        <f t="shared" si="4"/>
        <v>0</v>
      </c>
      <c r="F81">
        <f t="shared" si="3"/>
        <v>0</v>
      </c>
      <c r="H81">
        <f t="shared" si="0"/>
        <v>0</v>
      </c>
      <c r="I81">
        <f t="shared" si="1"/>
        <v>0</v>
      </c>
    </row>
    <row r="82" spans="5:9">
      <c r="E82">
        <f t="shared" si="4"/>
        <v>0</v>
      </c>
      <c r="F82">
        <f t="shared" si="3"/>
        <v>0</v>
      </c>
      <c r="H82">
        <f t="shared" si="0"/>
        <v>0</v>
      </c>
      <c r="I82">
        <f t="shared" si="1"/>
        <v>0</v>
      </c>
    </row>
    <row r="83" spans="5:9">
      <c r="E83">
        <f t="shared" si="4"/>
        <v>0</v>
      </c>
      <c r="F83">
        <f t="shared" si="3"/>
        <v>0</v>
      </c>
      <c r="H83">
        <f t="shared" si="0"/>
        <v>0</v>
      </c>
      <c r="I83">
        <f t="shared" si="1"/>
        <v>0</v>
      </c>
    </row>
    <row r="84" spans="5:9">
      <c r="E84">
        <f t="shared" si="4"/>
        <v>0</v>
      </c>
      <c r="F84">
        <f t="shared" si="3"/>
        <v>0</v>
      </c>
      <c r="H84">
        <f t="shared" si="0"/>
        <v>0</v>
      </c>
      <c r="I84">
        <f t="shared" si="1"/>
        <v>0</v>
      </c>
    </row>
    <row r="85" spans="5:9">
      <c r="E85">
        <f t="shared" si="4"/>
        <v>0</v>
      </c>
      <c r="F85">
        <f t="shared" si="3"/>
        <v>0</v>
      </c>
      <c r="H85">
        <f t="shared" si="0"/>
        <v>0</v>
      </c>
      <c r="I85">
        <f t="shared" si="1"/>
        <v>0</v>
      </c>
    </row>
    <row r="86" spans="5:9">
      <c r="E86">
        <f t="shared" si="4"/>
        <v>0</v>
      </c>
      <c r="F86">
        <f t="shared" si="3"/>
        <v>0</v>
      </c>
      <c r="H86">
        <f t="shared" si="0"/>
        <v>0</v>
      </c>
      <c r="I86">
        <f t="shared" si="1"/>
        <v>0</v>
      </c>
    </row>
    <row r="87" spans="5:9">
      <c r="E87">
        <f t="shared" si="4"/>
        <v>0</v>
      </c>
      <c r="F87">
        <f t="shared" si="3"/>
        <v>0</v>
      </c>
      <c r="H87">
        <f t="shared" si="0"/>
        <v>0</v>
      </c>
      <c r="I87">
        <f t="shared" si="1"/>
        <v>0</v>
      </c>
    </row>
    <row r="88" spans="5:9">
      <c r="E88">
        <f t="shared" si="4"/>
        <v>0</v>
      </c>
      <c r="F88">
        <f t="shared" si="3"/>
        <v>0</v>
      </c>
      <c r="H88">
        <f t="shared" si="0"/>
        <v>0</v>
      </c>
      <c r="I88">
        <f t="shared" si="1"/>
        <v>0</v>
      </c>
    </row>
    <row r="89" spans="5:9">
      <c r="E89">
        <f t="shared" si="4"/>
        <v>0</v>
      </c>
      <c r="F89">
        <f t="shared" si="3"/>
        <v>0</v>
      </c>
      <c r="H89">
        <f t="shared" si="0"/>
        <v>0</v>
      </c>
      <c r="I89">
        <f t="shared" si="1"/>
        <v>0</v>
      </c>
    </row>
    <row r="90" spans="5:9">
      <c r="E90">
        <f t="shared" si="4"/>
        <v>0</v>
      </c>
      <c r="F90">
        <f t="shared" si="3"/>
        <v>0</v>
      </c>
      <c r="H90">
        <f t="shared" si="0"/>
        <v>0</v>
      </c>
      <c r="I90">
        <f t="shared" si="1"/>
        <v>0</v>
      </c>
    </row>
    <row r="91" spans="5:9">
      <c r="E91">
        <f t="shared" si="4"/>
        <v>0</v>
      </c>
      <c r="F91">
        <f t="shared" si="3"/>
        <v>0</v>
      </c>
      <c r="H91">
        <f t="shared" si="0"/>
        <v>0</v>
      </c>
      <c r="I91">
        <f t="shared" si="1"/>
        <v>0</v>
      </c>
    </row>
    <row r="92" spans="5:9">
      <c r="E92">
        <f t="shared" si="4"/>
        <v>0</v>
      </c>
      <c r="F92">
        <f t="shared" si="3"/>
        <v>0</v>
      </c>
      <c r="H92">
        <f t="shared" si="0"/>
        <v>0</v>
      </c>
      <c r="I92">
        <f t="shared" si="1"/>
        <v>0</v>
      </c>
    </row>
    <row r="93" spans="5:9">
      <c r="E93">
        <f t="shared" si="4"/>
        <v>0</v>
      </c>
      <c r="F93">
        <f t="shared" si="3"/>
        <v>0</v>
      </c>
      <c r="H93">
        <f t="shared" si="0"/>
        <v>0</v>
      </c>
      <c r="I93">
        <f t="shared" si="1"/>
        <v>0</v>
      </c>
    </row>
    <row r="94" spans="5:9">
      <c r="E94">
        <f t="shared" si="4"/>
        <v>0</v>
      </c>
      <c r="F94">
        <f t="shared" si="3"/>
        <v>0</v>
      </c>
      <c r="H94">
        <f t="shared" si="0"/>
        <v>0</v>
      </c>
      <c r="I94">
        <f t="shared" si="1"/>
        <v>0</v>
      </c>
    </row>
    <row r="95" spans="5:9">
      <c r="E95">
        <f t="shared" si="4"/>
        <v>0</v>
      </c>
      <c r="F95">
        <f t="shared" si="3"/>
        <v>0</v>
      </c>
      <c r="H95">
        <f t="shared" si="0"/>
        <v>0</v>
      </c>
      <c r="I95">
        <f t="shared" si="1"/>
        <v>0</v>
      </c>
    </row>
    <row r="96" spans="5:9">
      <c r="E96">
        <f t="shared" si="4"/>
        <v>0</v>
      </c>
      <c r="F96">
        <f t="shared" si="3"/>
        <v>0</v>
      </c>
      <c r="H96">
        <f t="shared" si="0"/>
        <v>0</v>
      </c>
      <c r="I96">
        <f t="shared" si="1"/>
        <v>0</v>
      </c>
    </row>
    <row r="97" spans="5:9">
      <c r="E97">
        <f t="shared" si="4"/>
        <v>0</v>
      </c>
      <c r="F97">
        <f t="shared" si="3"/>
        <v>0</v>
      </c>
      <c r="H97">
        <f t="shared" si="0"/>
        <v>0</v>
      </c>
      <c r="I97">
        <f t="shared" si="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8"/>
  <sheetViews>
    <sheetView workbookViewId="0">
      <selection activeCell="F14" sqref="F14"/>
    </sheetView>
  </sheetViews>
  <sheetFormatPr defaultRowHeight="14"/>
  <cols>
    <col min="2" max="2" width="9.33203125" customWidth="1"/>
    <col min="3" max="3" width="9.6640625" customWidth="1"/>
    <col min="4" max="4" width="10.83203125" customWidth="1"/>
    <col min="5" max="5" width="9.25" customWidth="1"/>
    <col min="6" max="6" width="11.83203125" customWidth="1"/>
    <col min="7" max="7" width="10.83203125" customWidth="1"/>
    <col min="8" max="8" width="17.6640625" customWidth="1"/>
    <col min="9" max="9" width="12.5" customWidth="1"/>
    <col min="10" max="10" width="9.9140625" customWidth="1"/>
    <col min="13" max="13" width="15.4140625" customWidth="1"/>
    <col min="14" max="14" width="11.08203125" customWidth="1"/>
    <col min="15" max="15" width="14.0820312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126</v>
      </c>
      <c r="B2" t="s">
        <v>16</v>
      </c>
      <c r="C2">
        <v>1</v>
      </c>
      <c r="D2">
        <v>26.8</v>
      </c>
      <c r="E2">
        <v>26.8</v>
      </c>
      <c r="F2" s="12">
        <v>45660</v>
      </c>
      <c r="G2" s="12">
        <v>45661</v>
      </c>
      <c r="H2" t="s">
        <v>23</v>
      </c>
      <c r="I2" t="s">
        <v>40</v>
      </c>
      <c r="J2">
        <v>2</v>
      </c>
      <c r="K2" t="s">
        <v>19</v>
      </c>
      <c r="L2" t="s">
        <v>33</v>
      </c>
      <c r="M2">
        <v>1</v>
      </c>
      <c r="N2">
        <v>1</v>
      </c>
      <c r="O2" t="s">
        <v>2531</v>
      </c>
    </row>
    <row r="3" spans="1:15">
      <c r="A3" t="s">
        <v>151</v>
      </c>
      <c r="B3" t="s">
        <v>146</v>
      </c>
      <c r="C3">
        <v>1</v>
      </c>
      <c r="D3">
        <v>77.3</v>
      </c>
      <c r="E3">
        <v>77.3</v>
      </c>
      <c r="F3" s="12">
        <v>45661</v>
      </c>
      <c r="G3" s="12">
        <v>45662</v>
      </c>
      <c r="H3" t="s">
        <v>23</v>
      </c>
      <c r="I3" t="s">
        <v>70</v>
      </c>
      <c r="J3">
        <v>2</v>
      </c>
      <c r="K3" t="s">
        <v>19</v>
      </c>
      <c r="L3" t="s">
        <v>33</v>
      </c>
      <c r="M3">
        <v>1</v>
      </c>
      <c r="N3">
        <v>1</v>
      </c>
      <c r="O3" t="s">
        <v>2531</v>
      </c>
    </row>
    <row r="4" spans="1:15">
      <c r="A4" t="s">
        <v>195</v>
      </c>
      <c r="B4" t="s">
        <v>22</v>
      </c>
      <c r="C4">
        <v>6</v>
      </c>
      <c r="D4">
        <v>92</v>
      </c>
      <c r="E4">
        <v>552</v>
      </c>
      <c r="F4" s="12">
        <v>45662</v>
      </c>
      <c r="G4" s="12">
        <v>45664</v>
      </c>
      <c r="H4" t="s">
        <v>23</v>
      </c>
      <c r="I4" t="s">
        <v>18</v>
      </c>
      <c r="J4">
        <v>2</v>
      </c>
      <c r="K4" t="s">
        <v>19</v>
      </c>
      <c r="L4" t="s">
        <v>59</v>
      </c>
      <c r="M4">
        <v>2</v>
      </c>
      <c r="N4">
        <v>2</v>
      </c>
      <c r="O4" t="s">
        <v>2531</v>
      </c>
    </row>
    <row r="5" spans="1:15">
      <c r="A5" t="s">
        <v>178</v>
      </c>
      <c r="B5" t="s">
        <v>26</v>
      </c>
      <c r="C5">
        <v>12</v>
      </c>
      <c r="D5">
        <v>120</v>
      </c>
      <c r="E5">
        <v>1440</v>
      </c>
      <c r="F5" s="12">
        <v>45662</v>
      </c>
      <c r="G5" s="12">
        <v>45663</v>
      </c>
      <c r="H5" t="s">
        <v>27</v>
      </c>
      <c r="I5" t="s">
        <v>40</v>
      </c>
      <c r="J5">
        <v>2</v>
      </c>
      <c r="K5" t="s">
        <v>19</v>
      </c>
      <c r="L5" t="s">
        <v>33</v>
      </c>
      <c r="M5">
        <v>1</v>
      </c>
      <c r="N5">
        <v>2</v>
      </c>
      <c r="O5" t="s">
        <v>2530</v>
      </c>
    </row>
    <row r="6" spans="1:15">
      <c r="A6" t="s">
        <v>172</v>
      </c>
      <c r="B6" t="s">
        <v>54</v>
      </c>
      <c r="C6">
        <v>2</v>
      </c>
      <c r="D6">
        <v>53</v>
      </c>
      <c r="E6">
        <v>106</v>
      </c>
      <c r="F6" s="12">
        <v>45662</v>
      </c>
      <c r="G6" s="12">
        <v>45662</v>
      </c>
      <c r="H6" t="s">
        <v>23</v>
      </c>
      <c r="I6" t="s">
        <v>40</v>
      </c>
      <c r="J6">
        <v>2</v>
      </c>
      <c r="K6" t="s">
        <v>19</v>
      </c>
      <c r="L6" t="s">
        <v>103</v>
      </c>
      <c r="M6">
        <v>0</v>
      </c>
      <c r="N6">
        <v>2</v>
      </c>
      <c r="O6" t="s">
        <v>2531</v>
      </c>
    </row>
    <row r="7" spans="1:15">
      <c r="A7" t="s">
        <v>218</v>
      </c>
      <c r="B7" t="s">
        <v>146</v>
      </c>
      <c r="C7">
        <v>12</v>
      </c>
      <c r="D7">
        <v>25.8</v>
      </c>
      <c r="E7">
        <v>309.60000000000002</v>
      </c>
      <c r="F7" s="12">
        <v>45663</v>
      </c>
      <c r="G7" s="12">
        <v>45664</v>
      </c>
      <c r="H7" t="s">
        <v>23</v>
      </c>
      <c r="I7" t="s">
        <v>70</v>
      </c>
      <c r="J7">
        <v>2</v>
      </c>
      <c r="K7" t="s">
        <v>19</v>
      </c>
      <c r="L7" t="s">
        <v>33</v>
      </c>
      <c r="M7">
        <v>1</v>
      </c>
      <c r="N7">
        <v>2</v>
      </c>
      <c r="O7" t="s">
        <v>2531</v>
      </c>
    </row>
    <row r="8" spans="1:15">
      <c r="A8" t="s">
        <v>215</v>
      </c>
      <c r="B8" t="s">
        <v>44</v>
      </c>
      <c r="C8">
        <v>8</v>
      </c>
      <c r="D8">
        <v>26.3</v>
      </c>
      <c r="E8">
        <v>210.4</v>
      </c>
      <c r="F8" s="12">
        <v>45663</v>
      </c>
      <c r="G8" s="12">
        <v>45666</v>
      </c>
      <c r="H8" t="s">
        <v>27</v>
      </c>
      <c r="I8" t="s">
        <v>70</v>
      </c>
      <c r="J8">
        <v>2</v>
      </c>
      <c r="K8" t="s">
        <v>19</v>
      </c>
      <c r="L8" t="s">
        <v>33</v>
      </c>
      <c r="M8">
        <v>3</v>
      </c>
      <c r="N8">
        <v>2</v>
      </c>
      <c r="O8" t="s">
        <v>2530</v>
      </c>
    </row>
    <row r="9" spans="1:15">
      <c r="A9" t="s">
        <v>255</v>
      </c>
      <c r="B9" t="s">
        <v>42</v>
      </c>
      <c r="C9">
        <v>7</v>
      </c>
      <c r="D9">
        <v>52</v>
      </c>
      <c r="E9">
        <v>364</v>
      </c>
      <c r="F9" s="12">
        <v>45664</v>
      </c>
      <c r="G9" s="12">
        <v>45665</v>
      </c>
      <c r="H9" t="s">
        <v>23</v>
      </c>
      <c r="I9" t="s">
        <v>35</v>
      </c>
      <c r="J9">
        <v>2</v>
      </c>
      <c r="K9" t="s">
        <v>19</v>
      </c>
      <c r="L9" t="s">
        <v>33</v>
      </c>
      <c r="M9">
        <v>1</v>
      </c>
      <c r="N9">
        <v>2</v>
      </c>
      <c r="O9" t="s">
        <v>2531</v>
      </c>
    </row>
    <row r="10" spans="1:15">
      <c r="A10" t="s">
        <v>237</v>
      </c>
      <c r="B10" t="s">
        <v>39</v>
      </c>
      <c r="C10">
        <v>3</v>
      </c>
      <c r="D10">
        <v>40</v>
      </c>
      <c r="E10">
        <v>120</v>
      </c>
      <c r="F10" s="12">
        <v>45664</v>
      </c>
      <c r="G10" s="12">
        <v>45667</v>
      </c>
      <c r="H10" t="s">
        <v>23</v>
      </c>
      <c r="I10" t="s">
        <v>18</v>
      </c>
      <c r="J10">
        <v>2</v>
      </c>
      <c r="K10" t="s">
        <v>19</v>
      </c>
      <c r="L10" t="s">
        <v>77</v>
      </c>
      <c r="M10">
        <v>3</v>
      </c>
      <c r="N10">
        <v>2</v>
      </c>
      <c r="O10" t="s">
        <v>2531</v>
      </c>
    </row>
    <row r="11" spans="1:15">
      <c r="A11" t="s">
        <v>228</v>
      </c>
      <c r="B11" t="s">
        <v>44</v>
      </c>
      <c r="C11">
        <v>4</v>
      </c>
      <c r="D11">
        <v>28.8</v>
      </c>
      <c r="E11">
        <v>115.2</v>
      </c>
      <c r="F11" s="12">
        <v>45664</v>
      </c>
      <c r="G11" s="12">
        <v>45665</v>
      </c>
      <c r="H11" t="s">
        <v>27</v>
      </c>
      <c r="I11" t="s">
        <v>18</v>
      </c>
      <c r="J11">
        <v>2</v>
      </c>
      <c r="K11" t="s">
        <v>19</v>
      </c>
      <c r="L11" t="s">
        <v>55</v>
      </c>
      <c r="M11">
        <v>1</v>
      </c>
      <c r="N11">
        <v>2</v>
      </c>
      <c r="O11" t="s">
        <v>2530</v>
      </c>
    </row>
    <row r="12" spans="1:15">
      <c r="A12" t="s">
        <v>284</v>
      </c>
      <c r="B12" t="s">
        <v>16</v>
      </c>
      <c r="C12">
        <v>3</v>
      </c>
      <c r="D12">
        <v>49.4</v>
      </c>
      <c r="E12">
        <v>148.19999999999999</v>
      </c>
      <c r="F12" s="12">
        <v>45666</v>
      </c>
      <c r="G12" s="12">
        <v>45669</v>
      </c>
      <c r="H12" t="s">
        <v>27</v>
      </c>
      <c r="I12" t="s">
        <v>70</v>
      </c>
      <c r="J12">
        <v>2</v>
      </c>
      <c r="K12" t="s">
        <v>19</v>
      </c>
      <c r="L12" t="s">
        <v>33</v>
      </c>
      <c r="M12">
        <v>3</v>
      </c>
      <c r="N12">
        <v>2</v>
      </c>
      <c r="O12" t="s">
        <v>2530</v>
      </c>
    </row>
    <row r="13" spans="1:15">
      <c r="A13" t="s">
        <v>351</v>
      </c>
      <c r="B13" t="s">
        <v>39</v>
      </c>
      <c r="C13">
        <v>3</v>
      </c>
      <c r="D13">
        <v>90.9</v>
      </c>
      <c r="E13">
        <v>272.70000000000005</v>
      </c>
      <c r="F13" s="12">
        <v>45669</v>
      </c>
      <c r="G13" s="12">
        <v>45670</v>
      </c>
      <c r="H13" t="s">
        <v>27</v>
      </c>
      <c r="I13" t="s">
        <v>40</v>
      </c>
      <c r="J13">
        <v>2</v>
      </c>
      <c r="K13" t="s">
        <v>19</v>
      </c>
      <c r="L13" t="s">
        <v>33</v>
      </c>
      <c r="M13">
        <v>1</v>
      </c>
      <c r="N13">
        <v>3</v>
      </c>
      <c r="O13" t="s">
        <v>2530</v>
      </c>
    </row>
    <row r="14" spans="1:15">
      <c r="A14" t="s">
        <v>345</v>
      </c>
      <c r="B14" t="s">
        <v>46</v>
      </c>
      <c r="C14">
        <v>1</v>
      </c>
      <c r="D14">
        <v>33.5</v>
      </c>
      <c r="E14">
        <v>33.5</v>
      </c>
      <c r="F14" s="12">
        <v>45669</v>
      </c>
      <c r="G14" s="12">
        <v>45671</v>
      </c>
      <c r="H14" t="s">
        <v>27</v>
      </c>
      <c r="I14" t="s">
        <v>18</v>
      </c>
      <c r="J14">
        <v>2</v>
      </c>
      <c r="K14" t="s">
        <v>19</v>
      </c>
      <c r="L14" t="s">
        <v>62</v>
      </c>
      <c r="M14">
        <v>2</v>
      </c>
      <c r="N14">
        <v>3</v>
      </c>
      <c r="O14" t="s">
        <v>2530</v>
      </c>
    </row>
    <row r="15" spans="1:15">
      <c r="A15" t="s">
        <v>381</v>
      </c>
      <c r="B15" t="s">
        <v>39</v>
      </c>
      <c r="C15">
        <v>7</v>
      </c>
      <c r="D15">
        <v>80.900000000000006</v>
      </c>
      <c r="E15">
        <v>566.30000000000007</v>
      </c>
      <c r="F15" s="12">
        <v>45670</v>
      </c>
      <c r="G15" s="12">
        <v>45672</v>
      </c>
      <c r="H15" t="s">
        <v>23</v>
      </c>
      <c r="I15" t="s">
        <v>70</v>
      </c>
      <c r="J15">
        <v>2</v>
      </c>
      <c r="K15" t="s">
        <v>19</v>
      </c>
      <c r="L15" t="s">
        <v>28</v>
      </c>
      <c r="M15">
        <v>2</v>
      </c>
      <c r="N15">
        <v>3</v>
      </c>
      <c r="O15" t="s">
        <v>2531</v>
      </c>
    </row>
    <row r="16" spans="1:15">
      <c r="A16" t="s">
        <v>368</v>
      </c>
      <c r="B16" t="s">
        <v>22</v>
      </c>
      <c r="C16">
        <v>6</v>
      </c>
      <c r="D16">
        <v>94.1</v>
      </c>
      <c r="E16">
        <v>564.59999999999991</v>
      </c>
      <c r="F16" s="12">
        <v>45670</v>
      </c>
      <c r="G16" s="12">
        <v>45671</v>
      </c>
      <c r="H16" t="s">
        <v>27</v>
      </c>
      <c r="I16" t="s">
        <v>18</v>
      </c>
      <c r="J16">
        <v>2</v>
      </c>
      <c r="K16" t="s">
        <v>19</v>
      </c>
      <c r="L16" t="s">
        <v>55</v>
      </c>
      <c r="M16">
        <v>1</v>
      </c>
      <c r="N16">
        <v>3</v>
      </c>
      <c r="O16" t="s">
        <v>2530</v>
      </c>
    </row>
    <row r="17" spans="1:15">
      <c r="A17" t="s">
        <v>367</v>
      </c>
      <c r="B17" t="s">
        <v>39</v>
      </c>
      <c r="C17">
        <v>3</v>
      </c>
      <c r="D17">
        <v>112.3</v>
      </c>
      <c r="E17">
        <v>336.9</v>
      </c>
      <c r="F17" s="12">
        <v>45670</v>
      </c>
      <c r="G17" s="12">
        <v>45671</v>
      </c>
      <c r="H17" t="s">
        <v>23</v>
      </c>
      <c r="I17" t="s">
        <v>40</v>
      </c>
      <c r="J17">
        <v>2</v>
      </c>
      <c r="K17" t="s">
        <v>19</v>
      </c>
      <c r="L17" t="s">
        <v>55</v>
      </c>
      <c r="M17">
        <v>1</v>
      </c>
      <c r="N17">
        <v>3</v>
      </c>
      <c r="O17" t="s">
        <v>2531</v>
      </c>
    </row>
    <row r="18" spans="1:15">
      <c r="A18" t="s">
        <v>405</v>
      </c>
      <c r="B18" t="s">
        <v>37</v>
      </c>
      <c r="C18">
        <v>1</v>
      </c>
      <c r="D18">
        <v>65.2</v>
      </c>
      <c r="E18">
        <v>65.2</v>
      </c>
      <c r="F18" s="12">
        <v>45671</v>
      </c>
      <c r="G18" s="12">
        <v>45673</v>
      </c>
      <c r="H18" t="s">
        <v>89</v>
      </c>
      <c r="I18" t="s">
        <v>70</v>
      </c>
      <c r="J18">
        <v>2</v>
      </c>
      <c r="K18" t="s">
        <v>19</v>
      </c>
      <c r="L18" t="s">
        <v>33</v>
      </c>
      <c r="M18">
        <v>2</v>
      </c>
      <c r="N18">
        <v>3</v>
      </c>
      <c r="O18" t="s">
        <v>2532</v>
      </c>
    </row>
    <row r="19" spans="1:15">
      <c r="A19" t="s">
        <v>438</v>
      </c>
      <c r="B19" t="s">
        <v>44</v>
      </c>
      <c r="C19">
        <v>3</v>
      </c>
      <c r="D19">
        <v>25.6</v>
      </c>
      <c r="E19">
        <v>76.800000000000011</v>
      </c>
      <c r="F19" s="12">
        <v>45672</v>
      </c>
      <c r="G19" s="12">
        <v>45673</v>
      </c>
      <c r="H19" t="s">
        <v>23</v>
      </c>
      <c r="I19" t="s">
        <v>70</v>
      </c>
      <c r="J19">
        <v>2</v>
      </c>
      <c r="K19" t="s">
        <v>19</v>
      </c>
      <c r="L19" t="s">
        <v>28</v>
      </c>
      <c r="M19">
        <v>1</v>
      </c>
      <c r="N19">
        <v>3</v>
      </c>
      <c r="O19" t="s">
        <v>2531</v>
      </c>
    </row>
    <row r="20" spans="1:15">
      <c r="A20" t="s">
        <v>427</v>
      </c>
      <c r="B20" t="s">
        <v>69</v>
      </c>
      <c r="C20">
        <v>9</v>
      </c>
      <c r="D20">
        <v>57.8</v>
      </c>
      <c r="E20">
        <v>520.19999999999993</v>
      </c>
      <c r="F20" s="12">
        <v>45672</v>
      </c>
      <c r="G20" s="12">
        <v>45683</v>
      </c>
      <c r="H20" t="s">
        <v>23</v>
      </c>
      <c r="I20" t="s">
        <v>18</v>
      </c>
      <c r="J20">
        <v>2</v>
      </c>
      <c r="K20" t="s">
        <v>19</v>
      </c>
      <c r="L20" t="s">
        <v>103</v>
      </c>
      <c r="M20">
        <v>11</v>
      </c>
      <c r="N20">
        <v>3</v>
      </c>
      <c r="O20" t="s">
        <v>2531</v>
      </c>
    </row>
    <row r="21" spans="1:15">
      <c r="A21" t="s">
        <v>456</v>
      </c>
      <c r="B21" t="s">
        <v>135</v>
      </c>
      <c r="C21">
        <v>2</v>
      </c>
      <c r="D21">
        <v>49.9</v>
      </c>
      <c r="E21">
        <v>99.8</v>
      </c>
      <c r="F21" s="12">
        <v>45673</v>
      </c>
      <c r="G21" s="12">
        <v>45678</v>
      </c>
      <c r="H21" t="s">
        <v>23</v>
      </c>
      <c r="I21" t="s">
        <v>70</v>
      </c>
      <c r="J21">
        <v>2</v>
      </c>
      <c r="K21" t="s">
        <v>19</v>
      </c>
      <c r="L21" t="s">
        <v>74</v>
      </c>
      <c r="M21">
        <v>5</v>
      </c>
      <c r="N21">
        <v>3</v>
      </c>
      <c r="O21" t="s">
        <v>2531</v>
      </c>
    </row>
    <row r="22" spans="1:15">
      <c r="A22" t="s">
        <v>448</v>
      </c>
      <c r="B22" t="s">
        <v>69</v>
      </c>
      <c r="C22">
        <v>3</v>
      </c>
      <c r="D22">
        <v>79.8</v>
      </c>
      <c r="E22">
        <v>239.39999999999998</v>
      </c>
      <c r="F22" s="12">
        <v>45673</v>
      </c>
      <c r="G22" s="12">
        <v>45679</v>
      </c>
      <c r="H22" t="s">
        <v>27</v>
      </c>
      <c r="I22" t="s">
        <v>35</v>
      </c>
      <c r="J22">
        <v>2</v>
      </c>
      <c r="K22" t="s">
        <v>19</v>
      </c>
      <c r="L22" t="s">
        <v>33</v>
      </c>
      <c r="M22">
        <v>6</v>
      </c>
      <c r="N22">
        <v>3</v>
      </c>
      <c r="O22" t="s">
        <v>2530</v>
      </c>
    </row>
    <row r="23" spans="1:15">
      <c r="A23" t="s">
        <v>466</v>
      </c>
      <c r="B23" t="s">
        <v>26</v>
      </c>
      <c r="C23">
        <v>17</v>
      </c>
      <c r="D23">
        <v>139</v>
      </c>
      <c r="E23">
        <v>2363</v>
      </c>
      <c r="F23" s="12">
        <v>45674</v>
      </c>
      <c r="G23" s="12">
        <v>45676</v>
      </c>
      <c r="H23" t="s">
        <v>27</v>
      </c>
      <c r="I23" t="s">
        <v>35</v>
      </c>
      <c r="J23">
        <v>2</v>
      </c>
      <c r="K23" t="s">
        <v>19</v>
      </c>
      <c r="L23" t="s">
        <v>33</v>
      </c>
      <c r="M23">
        <v>2</v>
      </c>
      <c r="N23">
        <v>3</v>
      </c>
      <c r="O23" t="s">
        <v>2530</v>
      </c>
    </row>
    <row r="24" spans="1:15">
      <c r="A24" t="s">
        <v>486</v>
      </c>
      <c r="B24" t="s">
        <v>44</v>
      </c>
      <c r="C24">
        <v>7</v>
      </c>
      <c r="D24">
        <v>21.5</v>
      </c>
      <c r="E24">
        <v>150.5</v>
      </c>
      <c r="F24" s="12">
        <v>45675</v>
      </c>
      <c r="G24" s="12">
        <v>45677</v>
      </c>
      <c r="H24" t="s">
        <v>23</v>
      </c>
      <c r="I24" t="s">
        <v>35</v>
      </c>
      <c r="J24">
        <v>2</v>
      </c>
      <c r="K24" t="s">
        <v>19</v>
      </c>
      <c r="L24" t="s">
        <v>334</v>
      </c>
      <c r="M24">
        <v>2</v>
      </c>
      <c r="N24">
        <v>3</v>
      </c>
      <c r="O24" t="s">
        <v>2531</v>
      </c>
    </row>
    <row r="25" spans="1:15">
      <c r="A25" t="s">
        <v>480</v>
      </c>
      <c r="B25" t="s">
        <v>26</v>
      </c>
      <c r="C25">
        <v>5</v>
      </c>
      <c r="D25">
        <v>60.4</v>
      </c>
      <c r="E25">
        <v>302</v>
      </c>
      <c r="F25" s="12">
        <v>45675</v>
      </c>
      <c r="G25" s="12">
        <v>45678</v>
      </c>
      <c r="H25" t="s">
        <v>27</v>
      </c>
      <c r="I25" t="s">
        <v>35</v>
      </c>
      <c r="J25">
        <v>2</v>
      </c>
      <c r="K25" t="s">
        <v>19</v>
      </c>
      <c r="L25" t="s">
        <v>108</v>
      </c>
      <c r="M25">
        <v>3</v>
      </c>
      <c r="N25">
        <v>3</v>
      </c>
      <c r="O25" t="s">
        <v>2530</v>
      </c>
    </row>
    <row r="26" spans="1:15">
      <c r="A26" t="s">
        <v>521</v>
      </c>
      <c r="B26" t="s">
        <v>37</v>
      </c>
      <c r="C26">
        <v>18</v>
      </c>
      <c r="D26">
        <v>59.9</v>
      </c>
      <c r="E26">
        <v>1078.2</v>
      </c>
      <c r="F26" s="12">
        <v>45676</v>
      </c>
      <c r="G26" s="12">
        <v>45679</v>
      </c>
      <c r="H26" t="s">
        <v>23</v>
      </c>
      <c r="I26" t="s">
        <v>40</v>
      </c>
      <c r="J26">
        <v>2</v>
      </c>
      <c r="K26" t="s">
        <v>19</v>
      </c>
      <c r="L26" t="s">
        <v>188</v>
      </c>
      <c r="M26">
        <v>3</v>
      </c>
      <c r="N26">
        <v>4</v>
      </c>
      <c r="O26" t="s">
        <v>2531</v>
      </c>
    </row>
    <row r="27" spans="1:15">
      <c r="A27" t="s">
        <v>507</v>
      </c>
      <c r="B27" t="s">
        <v>22</v>
      </c>
      <c r="C27">
        <v>2</v>
      </c>
      <c r="D27">
        <v>107.7</v>
      </c>
      <c r="E27">
        <v>215.4</v>
      </c>
      <c r="F27" s="12">
        <v>45676</v>
      </c>
      <c r="G27" s="12">
        <v>45680</v>
      </c>
      <c r="H27" t="s">
        <v>23</v>
      </c>
      <c r="I27" t="s">
        <v>51</v>
      </c>
      <c r="J27">
        <v>2</v>
      </c>
      <c r="K27" t="s">
        <v>19</v>
      </c>
      <c r="L27" t="s">
        <v>33</v>
      </c>
      <c r="M27">
        <v>4</v>
      </c>
      <c r="N27">
        <v>4</v>
      </c>
      <c r="O27" t="s">
        <v>2531</v>
      </c>
    </row>
    <row r="28" spans="1:15">
      <c r="A28" t="s">
        <v>543</v>
      </c>
      <c r="B28" t="s">
        <v>39</v>
      </c>
      <c r="C28">
        <v>6</v>
      </c>
      <c r="D28">
        <v>92.9</v>
      </c>
      <c r="E28">
        <v>557.40000000000009</v>
      </c>
      <c r="F28" s="12">
        <v>45677</v>
      </c>
      <c r="G28" s="12">
        <v>45688</v>
      </c>
      <c r="H28" t="s">
        <v>27</v>
      </c>
      <c r="I28" t="s">
        <v>18</v>
      </c>
      <c r="J28">
        <v>2</v>
      </c>
      <c r="K28" t="s">
        <v>19</v>
      </c>
      <c r="L28" t="s">
        <v>33</v>
      </c>
      <c r="M28">
        <v>11</v>
      </c>
      <c r="N28">
        <v>4</v>
      </c>
      <c r="O28" t="s">
        <v>2530</v>
      </c>
    </row>
    <row r="29" spans="1:15">
      <c r="A29" t="s">
        <v>566</v>
      </c>
      <c r="B29" t="s">
        <v>46</v>
      </c>
      <c r="C29">
        <v>5</v>
      </c>
      <c r="D29">
        <v>73.2</v>
      </c>
      <c r="E29">
        <v>366</v>
      </c>
      <c r="F29" s="12">
        <v>45678</v>
      </c>
      <c r="G29" s="12">
        <v>45679</v>
      </c>
      <c r="H29" t="s">
        <v>27</v>
      </c>
      <c r="I29" t="s">
        <v>35</v>
      </c>
      <c r="J29">
        <v>2</v>
      </c>
      <c r="K29" t="s">
        <v>19</v>
      </c>
      <c r="L29" t="s">
        <v>33</v>
      </c>
      <c r="M29">
        <v>1</v>
      </c>
      <c r="N29">
        <v>4</v>
      </c>
      <c r="O29" t="s">
        <v>2530</v>
      </c>
    </row>
    <row r="30" spans="1:15">
      <c r="A30" t="s">
        <v>563</v>
      </c>
      <c r="B30" t="s">
        <v>44</v>
      </c>
      <c r="C30">
        <v>1</v>
      </c>
      <c r="D30">
        <v>19.2</v>
      </c>
      <c r="E30">
        <v>19.2</v>
      </c>
      <c r="F30" s="12">
        <v>45678</v>
      </c>
      <c r="G30" s="12">
        <v>45679</v>
      </c>
      <c r="H30" t="s">
        <v>27</v>
      </c>
      <c r="I30" t="s">
        <v>18</v>
      </c>
      <c r="J30">
        <v>2</v>
      </c>
      <c r="K30" t="s">
        <v>19</v>
      </c>
      <c r="L30" t="s">
        <v>33</v>
      </c>
      <c r="M30">
        <v>1</v>
      </c>
      <c r="N30">
        <v>4</v>
      </c>
      <c r="O30" t="s">
        <v>2530</v>
      </c>
    </row>
    <row r="31" spans="1:15">
      <c r="A31" t="s">
        <v>628</v>
      </c>
      <c r="B31" t="s">
        <v>16</v>
      </c>
      <c r="C31">
        <v>2</v>
      </c>
      <c r="D31">
        <v>32.799999999999997</v>
      </c>
      <c r="E31">
        <v>65.599999999999994</v>
      </c>
      <c r="F31" s="12">
        <v>45680</v>
      </c>
      <c r="G31" s="12">
        <v>45682</v>
      </c>
      <c r="H31" t="s">
        <v>27</v>
      </c>
      <c r="I31" t="s">
        <v>70</v>
      </c>
      <c r="J31">
        <v>2</v>
      </c>
      <c r="K31" t="s">
        <v>19</v>
      </c>
      <c r="L31" t="s">
        <v>62</v>
      </c>
      <c r="M31">
        <v>2</v>
      </c>
      <c r="N31">
        <v>4</v>
      </c>
      <c r="O31" t="s">
        <v>2530</v>
      </c>
    </row>
    <row r="32" spans="1:15">
      <c r="A32" t="s">
        <v>674</v>
      </c>
      <c r="B32" t="s">
        <v>54</v>
      </c>
      <c r="C32">
        <v>4</v>
      </c>
      <c r="D32">
        <v>64.7</v>
      </c>
      <c r="E32">
        <v>258.8</v>
      </c>
      <c r="F32" s="12">
        <v>45682</v>
      </c>
      <c r="G32" s="12">
        <v>45684</v>
      </c>
      <c r="H32" t="s">
        <v>27</v>
      </c>
      <c r="I32" t="s">
        <v>35</v>
      </c>
      <c r="J32">
        <v>2</v>
      </c>
      <c r="K32" t="s">
        <v>19</v>
      </c>
      <c r="L32" t="s">
        <v>62</v>
      </c>
      <c r="M32">
        <v>2</v>
      </c>
      <c r="N32">
        <v>4</v>
      </c>
      <c r="O32" t="s">
        <v>2530</v>
      </c>
    </row>
    <row r="33" spans="1:15">
      <c r="A33" t="s">
        <v>668</v>
      </c>
      <c r="B33" t="s">
        <v>54</v>
      </c>
      <c r="C33">
        <v>1</v>
      </c>
      <c r="D33">
        <v>26.6</v>
      </c>
      <c r="E33">
        <v>26.6</v>
      </c>
      <c r="F33" s="12">
        <v>45682</v>
      </c>
      <c r="G33" s="12">
        <v>45684</v>
      </c>
      <c r="H33" t="s">
        <v>23</v>
      </c>
      <c r="I33" t="s">
        <v>18</v>
      </c>
      <c r="J33">
        <v>2</v>
      </c>
      <c r="K33" t="s">
        <v>19</v>
      </c>
      <c r="L33" t="s">
        <v>33</v>
      </c>
      <c r="M33">
        <v>2</v>
      </c>
      <c r="N33">
        <v>4</v>
      </c>
      <c r="O33" t="s">
        <v>2531</v>
      </c>
    </row>
    <row r="34" spans="1:15">
      <c r="A34" t="s">
        <v>708</v>
      </c>
      <c r="B34" t="s">
        <v>46</v>
      </c>
      <c r="C34">
        <v>4</v>
      </c>
      <c r="D34">
        <v>26.5</v>
      </c>
      <c r="E34">
        <v>106</v>
      </c>
      <c r="F34" s="12">
        <v>45683</v>
      </c>
      <c r="G34" s="12">
        <v>45685</v>
      </c>
      <c r="H34" t="s">
        <v>23</v>
      </c>
      <c r="I34" t="s">
        <v>18</v>
      </c>
      <c r="J34">
        <v>2</v>
      </c>
      <c r="K34" t="s">
        <v>19</v>
      </c>
      <c r="L34" t="s">
        <v>33</v>
      </c>
      <c r="M34">
        <v>2</v>
      </c>
      <c r="N34">
        <v>5</v>
      </c>
      <c r="O34" t="s">
        <v>2531</v>
      </c>
    </row>
    <row r="35" spans="1:15">
      <c r="A35" t="s">
        <v>715</v>
      </c>
      <c r="B35" t="s">
        <v>42</v>
      </c>
      <c r="C35">
        <v>1</v>
      </c>
      <c r="D35">
        <v>57.7</v>
      </c>
      <c r="E35">
        <v>57.7</v>
      </c>
      <c r="F35" s="12">
        <v>45684</v>
      </c>
      <c r="G35" s="12">
        <v>45684</v>
      </c>
      <c r="H35" t="s">
        <v>23</v>
      </c>
      <c r="I35" t="s">
        <v>18</v>
      </c>
      <c r="J35">
        <v>2</v>
      </c>
      <c r="K35" t="s">
        <v>19</v>
      </c>
      <c r="L35" t="s">
        <v>62</v>
      </c>
      <c r="M35">
        <v>0</v>
      </c>
      <c r="N35">
        <v>5</v>
      </c>
      <c r="O35" t="s">
        <v>2531</v>
      </c>
    </row>
    <row r="36" spans="1:15">
      <c r="A36" t="s">
        <v>823</v>
      </c>
      <c r="B36" t="s">
        <v>42</v>
      </c>
      <c r="C36">
        <v>6</v>
      </c>
      <c r="D36">
        <v>142.19999999999999</v>
      </c>
      <c r="E36">
        <v>853.19999999999993</v>
      </c>
      <c r="F36" s="12">
        <v>45688</v>
      </c>
      <c r="G36" s="12">
        <v>45689</v>
      </c>
      <c r="H36" t="s">
        <v>27</v>
      </c>
      <c r="I36" t="s">
        <v>40</v>
      </c>
      <c r="J36">
        <v>2</v>
      </c>
      <c r="K36" t="s">
        <v>19</v>
      </c>
      <c r="L36" t="s">
        <v>33</v>
      </c>
      <c r="M36">
        <v>1</v>
      </c>
      <c r="N36">
        <v>5</v>
      </c>
      <c r="O36" t="s">
        <v>2530</v>
      </c>
    </row>
    <row r="37" spans="1:15">
      <c r="A37" t="s">
        <v>821</v>
      </c>
      <c r="B37" t="s">
        <v>22</v>
      </c>
      <c r="C37">
        <v>6</v>
      </c>
      <c r="D37">
        <v>73.599999999999994</v>
      </c>
      <c r="E37">
        <v>441.59999999999997</v>
      </c>
      <c r="F37" s="12">
        <v>45688</v>
      </c>
      <c r="G37" s="12">
        <v>45690</v>
      </c>
      <c r="H37" t="s">
        <v>89</v>
      </c>
      <c r="I37" t="s">
        <v>51</v>
      </c>
      <c r="J37">
        <v>2</v>
      </c>
      <c r="K37" t="s">
        <v>19</v>
      </c>
      <c r="L37" t="s">
        <v>587</v>
      </c>
      <c r="M37">
        <v>2</v>
      </c>
      <c r="N37">
        <v>5</v>
      </c>
      <c r="O37" t="s">
        <v>2532</v>
      </c>
    </row>
    <row r="38" spans="1:15">
      <c r="A38" t="s">
        <v>819</v>
      </c>
      <c r="B38" t="s">
        <v>69</v>
      </c>
      <c r="C38">
        <v>6</v>
      </c>
      <c r="D38">
        <v>110.2</v>
      </c>
      <c r="E38">
        <v>661.2</v>
      </c>
      <c r="F38" s="12">
        <v>45688</v>
      </c>
      <c r="G38" s="12">
        <v>45688</v>
      </c>
      <c r="H38" t="s">
        <v>23</v>
      </c>
      <c r="I38" t="s">
        <v>35</v>
      </c>
      <c r="J38">
        <v>2</v>
      </c>
      <c r="K38" t="s">
        <v>19</v>
      </c>
      <c r="L38" t="s">
        <v>82</v>
      </c>
      <c r="M38">
        <v>0</v>
      </c>
      <c r="N38">
        <v>5</v>
      </c>
      <c r="O38" t="s">
        <v>2531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30"/>
  <sheetViews>
    <sheetView workbookViewId="0">
      <selection activeCell="B28" sqref="B28"/>
    </sheetView>
  </sheetViews>
  <sheetFormatPr defaultRowHeight="14"/>
  <cols>
    <col min="1" max="1" width="12.9140625" customWidth="1"/>
    <col min="2" max="2" width="13.4140625" customWidth="1"/>
    <col min="3" max="5" width="2.75" customWidth="1"/>
    <col min="6" max="6" width="10.83203125" customWidth="1"/>
    <col min="7" max="7" width="10.83203125" bestFit="1" customWidth="1"/>
  </cols>
  <sheetData>
    <row r="3" spans="1:2">
      <c r="A3" s="6" t="s">
        <v>2527</v>
      </c>
      <c r="B3" t="s">
        <v>2518</v>
      </c>
    </row>
    <row r="4" spans="1:2">
      <c r="A4" s="7">
        <v>0</v>
      </c>
      <c r="B4" s="5">
        <v>5</v>
      </c>
    </row>
    <row r="5" spans="1:2">
      <c r="A5" s="7">
        <v>1</v>
      </c>
      <c r="B5" s="5">
        <v>18</v>
      </c>
    </row>
    <row r="6" spans="1:2">
      <c r="A6" s="7">
        <v>2</v>
      </c>
      <c r="B6" s="5">
        <v>11</v>
      </c>
    </row>
    <row r="7" spans="1:2">
      <c r="A7" s="7">
        <v>3</v>
      </c>
      <c r="B7" s="5">
        <v>5</v>
      </c>
    </row>
    <row r="8" spans="1:2">
      <c r="A8" s="7">
        <v>4</v>
      </c>
      <c r="B8" s="5">
        <v>4</v>
      </c>
    </row>
    <row r="9" spans="1:2">
      <c r="A9" s="7">
        <v>5</v>
      </c>
      <c r="B9" s="5">
        <v>3</v>
      </c>
    </row>
    <row r="10" spans="1:2">
      <c r="A10" s="7">
        <v>6</v>
      </c>
      <c r="B10" s="5">
        <v>1</v>
      </c>
    </row>
    <row r="11" spans="1:2">
      <c r="A11" s="7">
        <v>7</v>
      </c>
      <c r="B11" s="5">
        <v>1</v>
      </c>
    </row>
    <row r="12" spans="1:2">
      <c r="A12" s="7">
        <v>14</v>
      </c>
      <c r="B12" s="5">
        <v>1</v>
      </c>
    </row>
    <row r="13" spans="1:2">
      <c r="A13" s="7" t="s">
        <v>2528</v>
      </c>
      <c r="B13" s="5">
        <v>49</v>
      </c>
    </row>
    <row r="25" spans="1:6">
      <c r="A25" s="6" t="s">
        <v>2518</v>
      </c>
      <c r="B25" s="6" t="s">
        <v>2529</v>
      </c>
    </row>
    <row r="26" spans="1:6">
      <c r="A26" s="6" t="s">
        <v>2527</v>
      </c>
      <c r="B26">
        <v>2</v>
      </c>
      <c r="C26">
        <v>3</v>
      </c>
      <c r="D26">
        <v>4</v>
      </c>
      <c r="E26">
        <v>5</v>
      </c>
      <c r="F26" t="s">
        <v>2528</v>
      </c>
    </row>
    <row r="27" spans="1:6">
      <c r="A27" s="7" t="s">
        <v>2537</v>
      </c>
      <c r="B27" s="5"/>
      <c r="C27" s="5">
        <v>1</v>
      </c>
      <c r="D27" s="5">
        <v>8</v>
      </c>
      <c r="E27" s="5">
        <v>5</v>
      </c>
      <c r="F27" s="5">
        <v>14</v>
      </c>
    </row>
    <row r="28" spans="1:6">
      <c r="A28" s="7" t="s">
        <v>2538</v>
      </c>
      <c r="B28" s="5"/>
      <c r="C28" s="5">
        <v>6</v>
      </c>
      <c r="D28" s="5">
        <v>8</v>
      </c>
      <c r="E28" s="5">
        <v>8</v>
      </c>
      <c r="F28" s="5">
        <v>22</v>
      </c>
    </row>
    <row r="29" spans="1:6">
      <c r="A29" s="7" t="s">
        <v>2539</v>
      </c>
      <c r="B29" s="5">
        <v>1</v>
      </c>
      <c r="C29" s="5">
        <v>7</v>
      </c>
      <c r="D29" s="5">
        <v>4</v>
      </c>
      <c r="E29" s="5">
        <v>1</v>
      </c>
      <c r="F29" s="5">
        <v>13</v>
      </c>
    </row>
    <row r="30" spans="1:6">
      <c r="A30" s="7" t="s">
        <v>2528</v>
      </c>
      <c r="B30" s="5">
        <v>1</v>
      </c>
      <c r="C30" s="5">
        <v>14</v>
      </c>
      <c r="D30" s="5">
        <v>20</v>
      </c>
      <c r="E30" s="5">
        <v>14</v>
      </c>
      <c r="F30" s="5">
        <v>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1"/>
  <sheetViews>
    <sheetView workbookViewId="0">
      <selection activeCell="G16" sqref="G16"/>
    </sheetView>
  </sheetViews>
  <sheetFormatPr defaultRowHeight="14"/>
  <cols>
    <col min="2" max="2" width="19.08203125" bestFit="1" customWidth="1"/>
    <col min="3" max="3" width="8.08203125" bestFit="1" customWidth="1"/>
    <col min="4" max="4" width="9.08203125" bestFit="1" customWidth="1"/>
    <col min="5" max="5" width="7.4140625" bestFit="1" customWidth="1"/>
    <col min="6" max="6" width="10" bestFit="1" customWidth="1"/>
    <col min="7" max="7" width="9.4140625" bestFit="1" customWidth="1"/>
    <col min="8" max="8" width="15.6640625" bestFit="1" customWidth="1"/>
    <col min="9" max="9" width="10.6640625" bestFit="1" customWidth="1"/>
    <col min="10" max="10" width="7.75" bestFit="1" customWidth="1"/>
    <col min="11" max="11" width="8.75" bestFit="1" customWidth="1"/>
    <col min="12" max="12" width="19.6640625" bestFit="1" customWidth="1"/>
    <col min="13" max="13" width="13.33203125" bestFit="1" customWidth="1"/>
    <col min="14" max="14" width="9.33203125" bestFit="1" customWidth="1"/>
    <col min="15" max="15" width="12.08203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8"/>
  <sheetViews>
    <sheetView workbookViewId="0">
      <selection activeCell="E9" sqref="E9"/>
    </sheetView>
  </sheetViews>
  <sheetFormatPr defaultRowHeight="14"/>
  <cols>
    <col min="1" max="1" width="3.6640625" customWidth="1"/>
    <col min="2" max="2" width="52.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10" zoomScaleNormal="100" workbookViewId="0">
      <selection activeCell="Z1" sqref="X1:Z4"/>
    </sheetView>
  </sheetViews>
  <sheetFormatPr defaultRowHeight="14"/>
  <cols>
    <col min="1" max="1" width="3.33203125" customWidth="1"/>
    <col min="2" max="2" width="22.25" customWidth="1"/>
    <col min="3" max="4" width="3.33203125" customWidth="1"/>
    <col min="26" max="26" width="3.332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vt:lpstr>
      <vt:lpstr>pivot2</vt:lpstr>
      <vt:lpstr>Sheet2</vt:lpstr>
      <vt:lpstr>pivot3</vt:lpstr>
      <vt:lpstr>Sheet4</vt:lpstr>
      <vt:lpstr>pivot4</vt:lpstr>
      <vt:lpstr>Sheet3</vt:lpstr>
      <vt:lpstr>pivot5</vt:lpstr>
      <vt:lpstr>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Lenovo</cp:lastModifiedBy>
  <dcterms:created xsi:type="dcterms:W3CDTF">2025-06-13T02:42:26Z</dcterms:created>
  <dcterms:modified xsi:type="dcterms:W3CDTF">2026-06-16T10:22:20Z</dcterms:modified>
</cp:coreProperties>
</file>